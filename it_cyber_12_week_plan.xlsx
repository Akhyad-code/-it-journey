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34384b8d8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0d5bc72fc84260"/>
    <x:sheet xmlns:r="http://schemas.openxmlformats.org/officeDocument/2006/relationships" name="Week1" sheetId="2" r:id="Reae4d19509324264"/>
    <x:sheet xmlns:r="http://schemas.openxmlformats.org/officeDocument/2006/relationships" name="Plan_84" sheetId="3" r:id="R3c68262723114d95"/>
    <x:sheet xmlns:r="http://schemas.openxmlformats.org/officeDocument/2006/relationships" name="Tracker" sheetId="4" r:id="Rb9d7ac3d810a46a1"/>
  </x:sheets>
  <x:definedNames>
    <x:definedName name="_xlnm._FilterDatabase" localSheetId="2" hidden="1">'Plan_84'!$A$2:$L$86</x:definedName>
    <x:definedName name="_xlnm._FilterDatabase" localSheetId="3" hidden="1">'Tracker'!$A$4:$F$22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.MM.YYYY"/>
    <x:numFmt numFmtId="165" formatCode="0.0%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b/>
      <x:sz val="12"/>
      <x:color rgb="00000000"/>
      <x:name val="Calibri"/>
    </x:font>
    <x:font>
      <x:b/>
    </x:font>
    <x:font>
      <x:sz val="10"/>
      <x:color rgb="00000000"/>
      <x:name val="Calibri"/>
    </x:font>
    <x:font>
      <x:b/>
      <x:sz val="11"/>
      <x:color rgb="00FFFFFF"/>
      <x:name val="Calibri"/>
    </x:font>
    <x:font>
      <x:sz val="10"/>
      <x:color rgb="006B7280"/>
      <x:name val="Calibri"/>
    </x:font>
    <x:font>
      <x:sz val="10"/>
      <x:color rgb="001F4E79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3F4F6"/>
      </x:patternFill>
    </x:fill>
    <x:fill>
      <x:patternFill patternType="solid">
        <x:fgColor rgb="00FFFFFF"/>
      </x:patternFill>
    </x:fill>
    <x:fill>
      <x:patternFill patternType="solid">
        <x:fgColor rgb="00EAF3FF"/>
      </x:patternFill>
    </x:fill>
    <x:fill>
      <x:patternFill patternType="solid">
        <x:fgColor rgb="002F75B5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FDE9E7"/>
      </x:patternFill>
    </x:fill>
    <x:fill>
      <x:patternFill patternType="solid">
        <x:fgColor rgb="00E4DFEC"/>
      </x:patternFill>
    </x:fill>
    <x:fill>
      <x:patternFill patternType="solid">
        <x:fgColor rgb="00EDEDED"/>
      </x:patternFill>
    </x:fill>
    <x:fill>
      <x:patternFill patternType="solid">
        <x:fgColor rgb="00FFF2CC"/>
      </x:patternFill>
    </x:fill>
  </x:fills>
  <x:borders count="6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/>
      <x:right/>
      <x:top style="thin">
        <x:color rgb="00D0D7DE"/>
      </x:top>
      <x:bottom/>
      <x:diagonal/>
    </x:border>
    <x:border>
      <x:left/>
      <x:right style="thin">
        <x:color rgb="00D0D7DE"/>
      </x:right>
      <x:top style="thin">
        <x:color rgb="00D0D7DE"/>
      </x:top>
      <x:bottom/>
      <x:diagonal/>
    </x:border>
    <x:border>
      <x:left/>
      <x:right style="thin">
        <x:color rgb="00D0D7DE"/>
      </x:right>
      <x:top style="thin">
        <x:color rgb="00D0D7DE"/>
      </x:top>
      <x:bottom style="thin">
        <x:color rgb="00D0D7DE"/>
      </x:bottom>
      <x:diagonal/>
    </x:border>
    <x:border>
      <x:left/>
      <x:right/>
      <x:top style="thin">
        <x:color rgb="00D0D7DE"/>
      </x:top>
      <x:bottom style="thin">
        <x:color rgb="00D0D7DE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2" borderId="1" xfId="0"/>
    <x:xf numFmtId="0" fontId="2" fillId="3" borderId="1" xfId="0" applyAlignment="1">
      <x:alignment horizontal="left" vertical="center" wrapText="1"/>
    </x:xf>
    <x:xf numFmtId="0" fontId="0" fillId="3" borderId="1" xfId="0"/>
    <x:xf numFmtId="0" fontId="3" fillId="4" borderId="1" xfId="0" applyAlignment="1">
      <x:alignment horizontal="left" vertical="center" wrapText="1"/>
    </x:xf>
    <x:xf numFmtId="164" fontId="4" fillId="5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0" fillId="6" borderId="1" xfId="0"/>
    <x:xf numFmtId="0" fontId="0" fillId="0" borderId="1" xfId="0"/>
    <x:xf numFmtId="165" fontId="4" fillId="0" borderId="1" xfId="0" applyAlignment="1">
      <x:alignment vertical="top" wrapText="1"/>
    </x:xf>
    <x:xf numFmtId="0" fontId="5" fillId="7" borderId="1" xfId="0" applyAlignment="1">
      <x:alignment horizontal="center" vertical="center" wrapText="1"/>
    </x:xf>
    <x:xf numFmtId="0" fontId="4" fillId="5" borderId="1" xfId="0" applyAlignment="1">
      <x:alignment horizontal="center" vertical="center" wrapText="1"/>
    </x:xf>
    <x:xf numFmtId="0" fontId="4" fillId="8" borderId="1" xfId="0" applyAlignment="1">
      <x:alignment vertical="top" wrapText="1"/>
    </x:xf>
    <x:xf numFmtId="0" fontId="4" fillId="9" borderId="1" xfId="0" applyAlignment="1">
      <x:alignment vertical="top" wrapText="1"/>
    </x:xf>
    <x:xf numFmtId="0" fontId="4" fillId="10" borderId="1" xfId="0" applyAlignment="1">
      <x:alignment vertical="top" wrapText="1"/>
    </x:xf>
    <x:xf numFmtId="0" fontId="4" fillId="11" borderId="1" xfId="0" applyAlignment="1">
      <x:alignment vertical="top" wrapText="1"/>
    </x:xf>
    <x:xf numFmtId="0" fontId="4" fillId="12" borderId="1" xfId="0" applyAlignment="1">
      <x:alignment vertical="top" wrapText="1"/>
    </x:xf>
    <x:xf numFmtId="0" fontId="4" fillId="13" borderId="1" xfId="0" applyAlignment="1">
      <x:alignment vertical="top" wrapText="1"/>
    </x:xf>
    <x:xf numFmtId="0" fontId="4" fillId="14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6" fillId="4" borderId="1" xfId="0" applyAlignment="1">
      <x:alignment vertical="top" wrapText="1"/>
    </x:xf>
    <x:xf numFmtId="164" fontId="4" fillId="0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7" fillId="6" borderId="1" xfId="0" applyAlignment="1">
      <x:alignment horizontal="center" vertical="center" wrapText="1"/>
    </x:xf>
    <x:xf numFmtId="0" fontId="5" fillId="7" borderId="1" xfId="0"/>
    <x:xf numFmtId="0" fontId="3" fillId="4" borderId="1" xfId="0" applyAlignment="1">
      <x:alignment vertical="top" wrapText="1"/>
    </x:xf>
    <x:xf numFmtId="0" fontId="7" fillId="6" borderId="1" xfId="0" applyAlignment="1">
      <x:alignment vertical="top" wrapText="1"/>
    </x:xf>
    <x:xf numFmtId="0" fontId="3" fillId="4" borderId="1" xfId="0" applyAlignment="1">
      <x:alignment horizontal="center" vertical="center" wrapText="1"/>
    </x:xf>
    <x:xf numFmtId="165" fontId="4" fillId="0" borderId="1" xfId="0" applyAlignment="1">
      <x:alignment horizontal="center" vertical="center" wrapText="1"/>
    </x:xf>
    <x:xf numFmtId="0" fontId="0" fillId="0" borderId="5" xfId="0"/>
    <x:xf numFmtId="0" fontId="0" fillId="0" borderId="4" xfId="0"/>
    <x:xf numFmtId="164" fontId="4" fillId="5" borderId="1" xfId="0" applyAlignment="1">
      <x:alignment vertical="top" wrapText="1"/>
    </x:xf>
    <x:xf numFmtId="164" fontId="4" fillId="0" borderId="1" xfId="0" applyAlignment="1">
      <x:alignment vertical="top" wrapText="1"/>
    </x:xf>
    <x:xf numFmtId="165" fontId="4" fillId="0" borderId="1" xfId="0" applyAlignment="1">
      <x:alignment vertical="top" wrapText="1"/>
    </x:xf>
    <x:xf numFmtId="164" fontId="4" fillId="0" borderId="1" xfId="0" applyAlignment="1">
      <x:alignment horizontal="center" vertical="center" wrapText="1"/>
    </x:xf>
    <x:xf numFmtId="165" fontId="4" fillId="0" borderId="1" xfId="0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DE9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3ac5bb8c7419f" /><Relationship Type="http://schemas.openxmlformats.org/officeDocument/2006/relationships/theme" Target="/xl/theme/theme1.xml" Id="R293cdddbbe194b8a" /><Relationship Type="http://schemas.openxmlformats.org/officeDocument/2006/relationships/sharedStrings" Target="/xl/sharedStrings.xml" Id="Ra14972595f8b4557" /><Relationship Type="http://schemas.openxmlformats.org/officeDocument/2006/relationships/worksheet" Target="/xl/worksheets/sheet1.xml" Id="Rb80d5bc72fc84260" /><Relationship Type="http://schemas.openxmlformats.org/officeDocument/2006/relationships/worksheet" Target="/xl/worksheets/sheet2.xml" Id="Reae4d19509324264" /><Relationship Type="http://schemas.openxmlformats.org/officeDocument/2006/relationships/worksheet" Target="/xl/worksheets/sheet3.xml" Id="R3c68262723114d95" /><Relationship Type="http://schemas.openxmlformats.org/officeDocument/2006/relationships/worksheet" Target="/xl/worksheets/sheet4.xml" Id="Rb9d7ac3d810a46a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8" customWidth="1"/>
    <x:col min="3" max="3" width="26" customWidth="1"/>
    <x:col min="4" max="4" width="22" customWidth="1"/>
    <x:col min="5" max="5" width="16" customWidth="1"/>
    <x:col min="6" max="6" width="3" customWidth="1"/>
    <x:col min="7" max="7" width="34" customWidth="1"/>
    <x:col min="8" max="8" width="34" customWidth="1"/>
  </x:cols>
  <x:sheetData>
    <x:row r="1">
      <x:c r="A1" s="1" t="inlineStr">
        <x:is>
          <x:t xml:space="preserve">12-недельный план входа в IT / Cybersecurity (21 час в неделю)</x:t>
        </x:is>
      </x:c>
      <x:c r="B1" s="31" t="n"/>
      <x:c r="C1" s="31" t="n"/>
      <x:c r="D1" s="31" t="n"/>
      <x:c r="E1" s="31" t="n"/>
      <x:c r="F1" s="31" t="n"/>
      <x:c r="G1" s="31" t="n"/>
      <x:c r="H1" s="32" t="n"/>
    </x:row>
    <x:row r="3">
      <x:c r="A3" s="3" t="inlineStr">
        <x:is>
          <x:t xml:space="preserve">Исходные данные</x:t>
        </x:is>
      </x:c>
      <x:c r="B3" s="32" t="n"/>
      <x:c r="D3" s="3" t="inlineStr">
        <x:is>
          <x:t xml:space="preserve">Прогресс</x:t>
        </x:is>
      </x:c>
      <x:c r="E3" s="32" t="n"/>
      <x:c r="G3" s="3" t="inlineStr">
        <x:is>
          <x:t xml:space="preserve">Как работать с планом</x:t>
        </x:is>
      </x:c>
      <x:c r="H3" s="32" t="n"/>
    </x:row>
    <x:row r="4" ht="36" customHeight="1">
      <x:c r="A4" s="5" t="inlineStr">
        <x:is>
          <x:t xml:space="preserve">Старт плана</x:t>
        </x:is>
      </x:c>
      <x:c r="B4" s="33" t="inlineStr">
        <x:is>
          <x:t xml:space="preserve">10.03.2026</x:t>
        </x:is>
      </x:c>
      <x:c r="D4" s="5" t="inlineStr">
        <x:is>
          <x:t xml:space="preserve">Дней в плане</x:t>
        </x:is>
      </x:c>
      <x:c r="E4" s="7">
        <x:f>COUNTA(Plan_84!A3:A86)</x:f>
        <x:v>84</x:v>
      </x:c>
      <x:c r="G4" s="8" t="inlineStr">
        <x:is>
          <x:t xml:space="preserve">1) Ведешь статус только в синих колонках: Статус / Заметки.</x:t>
        </x:is>
      </x:c>
      <x:c r="H4" s="32" t="n"/>
    </x:row>
    <x:row r="5" ht="36" customHeight="1">
      <x:c r="A5" s="5" t="inlineStr">
        <x:is>
          <x:t xml:space="preserve">Финиш плана</x:t>
        </x:is>
      </x:c>
      <x:c r="B5" s="34" t="str">
        <x:f>Plan_84!A86</x:f>
        <x:v>01.06.2026</x:v>
      </x:c>
      <x:c r="D5" s="5" t="inlineStr">
        <x:is>
          <x:t xml:space="preserve">Часов в плане</x:t>
        </x:is>
      </x:c>
      <x:c r="E5" s="7">
        <x:f>SUM(Plan_84!J3:J86)</x:f>
        <x:v>252</x:v>
      </x:c>
      <x:c r="G5" s="7" t="inlineStr">
        <x:is>
          <x:t xml:space="preserve">2) Не пропускай конспект: именно он превращает знания в навык.</x:t>
        </x:is>
      </x:c>
      <x:c r="H5" s="32" t="n"/>
    </x:row>
    <x:row r="6" ht="36" customHeight="1">
      <x:c r="A6" s="5" t="inlineStr">
        <x:is>
          <x:t xml:space="preserve">Локация</x:t>
        </x:is>
      </x:c>
      <x:c r="B6" s="7" t="inlineStr">
        <x:is>
          <x:t xml:space="preserve">Казахстан</x:t>
        </x:is>
      </x:c>
      <x:c r="D6" s="5" t="inlineStr">
        <x:is>
          <x:t xml:space="preserve">Дней выполнено</x:t>
        </x:is>
      </x:c>
      <x:c r="E6" s="7">
        <x:f>COUNTIF(Plan_84!I3:I86,"Готово")</x:f>
        <x:v>0</x:v>
      </x:c>
      <x:c r="G6" s="7" t="inlineStr">
        <x:is>
          <x:t xml:space="preserve">3) В review-дни не гонись за новым материалом — закрывай хвосты.</x:t>
        </x:is>
      </x:c>
      <x:c r="H6" s="32" t="n"/>
    </x:row>
    <x:row r="7" ht="36" customHeight="1">
      <x:c r="A7" s="5" t="inlineStr">
        <x:is>
          <x:t xml:space="preserve">Нагрузка</x:t>
        </x:is>
      </x:c>
      <x:c r="B7" s="7" t="inlineStr">
        <x:is>
          <x:t xml:space="preserve">3 часа в день / 21 час в неделю</x:t>
        </x:is>
      </x:c>
      <x:c r="D7" s="5" t="inlineStr">
        <x:is>
          <x:t xml:space="preserve">Прогресс по дням</x:t>
        </x:is>
      </x:c>
      <x:c r="E7" s="35">
        <x:f>IF(E4=0,0,E6/E4)</x:f>
        <x:v>0</x:v>
      </x:c>
      <x:c r="G7" s="7" t="inlineStr">
        <x:is>
          <x:t xml:space="preserve">4) Любой скрипт из ИИ сначала объясни себе построчно.</x:t>
        </x:is>
      </x:c>
      <x:c r="H7" s="32" t="n"/>
    </x:row>
    <x:row r="8" ht="36" customHeight="1">
      <x:c r="A8" s="5" t="inlineStr">
        <x:is>
          <x:t xml:space="preserve">Целевой трек</x:t>
        </x:is>
      </x:c>
      <x:c r="B8" s="7" t="inlineStr">
        <x:is>
          <x:t xml:space="preserve">IT Support / Junior Sysadmin -&gt; Junior SOC / SecOps</x:t>
        </x:is>
      </x:c>
      <x:c r="D8" s="5" t="inlineStr">
        <x:is>
          <x:t xml:space="preserve">Контрольных точек</x:t>
        </x:is>
      </x:c>
      <x:c r="E8" s="7">
        <x:f>COUNTA(Tracker!B5:B22)</x:f>
        <x:v>18</x:v>
      </x:c>
      <x:c r="G8" s="7" t="inlineStr">
        <x:is>
          <x:t xml:space="preserve">5) В конце каждой недели обновляй GitHub и краткое summary.</x:t>
        </x:is>
      </x:c>
      <x:c r="H8" s="32" t="n"/>
    </x:row>
    <x:row r="9" ht="36" customHeight="1">
      <x:c r="A9" s="5" t="inlineStr">
        <x:is>
          <x:t xml:space="preserve">Правило</x:t>
        </x:is>
      </x:c>
      <x:c r="B9" s="7" t="inlineStr">
        <x:is>
          <x:t xml:space="preserve">Каждый день: 20 мин английский + 80 мин обучение + 70 мин практика + 30 мин конспект</x:t>
        </x:is>
      </x:c>
      <x:c r="D9" s="5" t="inlineStr">
        <x:is>
          <x:t xml:space="preserve">КТ выполнено</x:t>
        </x:is>
      </x:c>
      <x:c r="E9" s="7">
        <x:f>COUNTIF(Tracker!E5:E22,"Готово")</x:f>
        <x:v>0</x:v>
      </x:c>
    </x:row>
    <x:row r="10" ht="36" customHeight="1">
      <x:c r="D10" s="5" t="inlineStr">
        <x:is>
          <x:t xml:space="preserve">Прогресс по КТ</x:t>
        </x:is>
      </x:c>
      <x:c r="E10" s="35">
        <x:f>IF(E8=0,0,E9/E8)</x:f>
        <x:v>0</x:v>
      </x:c>
    </x:row>
    <x:row r="12">
      <x:c r="A12" s="3" t="inlineStr">
        <x:is>
          <x:t xml:space="preserve">Карта 12 недель</x:t>
        </x:is>
      </x:c>
      <x:c r="B12" s="31" t="n"/>
      <x:c r="C12" s="31" t="n"/>
      <x:c r="D12" s="31" t="n"/>
      <x:c r="E12" s="31" t="n"/>
      <x:c r="F12" s="31" t="n"/>
      <x:c r="G12" s="31" t="n"/>
      <x:c r="H12" s="32" t="n"/>
    </x:row>
    <x:row r="13">
      <x:c r="A13" s="12" t="inlineStr">
        <x:is>
          <x:t xml:space="preserve">Неделя</x:t>
        </x:is>
      </x:c>
      <x:c r="B13" s="12" t="inlineStr">
        <x:is>
          <x:t xml:space="preserve">Фаза</x:t>
        </x:is>
      </x:c>
      <x:c r="C13" s="12" t="inlineStr">
        <x:is>
          <x:t xml:space="preserve">Главная тема</x:t>
        </x:is>
      </x:c>
      <x:c r="D13" s="12" t="inlineStr">
        <x:is>
          <x:t xml:space="preserve">Целевой результат</x:t>
        </x:is>
      </x:c>
      <x:c r="E13" s="12" t="inlineStr">
        <x:is>
          <x:t xml:space="preserve">Что должно лежать в GitHub / заметках</x:t>
        </x:is>
      </x:c>
    </x:row>
    <x:row r="14" ht="34" customHeight="1">
      <x:c r="A14" s="13" t="n">
        <x:v>1</x:v>
      </x:c>
      <x:c r="B14" s="14" t="inlineStr">
        <x:is>
          <x:t xml:space="preserve">Фундамент</x:t>
        </x:is>
      </x:c>
      <x:c r="C14" s="7" t="inlineStr">
        <x:is>
          <x:t xml:space="preserve">Сеть, Linux, Windows, Git</x:t>
        </x:is>
      </x:c>
      <x:c r="D14" s="7" t="inlineStr">
        <x:is>
          <x:t xml:space="preserve">Запустить lab-среду и GitHub, освоить базовые команды</x:t>
        </x:is>
      </x:c>
      <x:c r="E14" s="7" t="inlineStr">
        <x:is>
          <x:t xml:space="preserve">Repo, Ubuntu VM, network cheat sheet</x:t>
        </x:is>
      </x:c>
    </x:row>
    <x:row r="15" ht="34" customHeight="1">
      <x:c r="A15" s="13" t="n">
        <x:v>2</x:v>
      </x:c>
      <x:c r="B15" s="14" t="inlineStr">
        <x:is>
          <x:t xml:space="preserve">Фундамент</x:t>
        </x:is>
      </x:c>
      <x:c r="C15" s="7" t="inlineStr">
        <x:is>
          <x:t xml:space="preserve">Linux, процессы, web-база, защита ПК</x:t>
        </x:is>
      </x:c>
      <x:c r="D15" s="7" t="inlineStr">
        <x:is>
          <x:t xml:space="preserve">100 терминов, домашняя lab-среда v1</x:t>
        </x:is>
      </x:c>
      <x:c r="E15" s="7" t="inlineStr">
        <x:is>
          <x:t xml:space="preserve">Lab v1, 100 terms</x:t>
        </x:is>
      </x:c>
    </x:row>
    <x:row r="16" ht="34" customHeight="1">
      <x:c r="A16" s="13" t="n">
        <x:v>3</x:v>
      </x:c>
      <x:c r="B16" s="15" t="inlineStr">
        <x:is>
          <x:t xml:space="preserve">Support</x:t>
        </x:is>
      </x:c>
      <x:c r="C16" s="7" t="inlineStr">
        <x:is>
          <x:t xml:space="preserve">Troubleshooting, Windows support</x:t>
        </x:is>
      </x:c>
      <x:c r="D16" s="7" t="inlineStr">
        <x:is>
          <x:t xml:space="preserve">Первые карточки типовых поломок</x:t>
        </x:is>
      </x:c>
      <x:c r="E16" s="7" t="inlineStr">
        <x:is>
          <x:t xml:space="preserve">3-5 troubleshooting cases</x:t>
        </x:is>
      </x:c>
    </x:row>
    <x:row r="17" ht="34" customHeight="1">
      <x:c r="A17" s="13" t="n">
        <x:v>4</x:v>
      </x:c>
      <x:c r="B17" s="15" t="inlineStr">
        <x:is>
          <x:t xml:space="preserve">Support / Sysadmin</x:t>
        </x:is>
      </x:c>
      <x:c r="C17" s="7" t="inlineStr">
        <x:is>
          <x:t xml:space="preserve">AD-концепции, шары, бэкапы, тикеты</x:t>
        </x:is>
      </x:c>
      <x:c r="D17" s="7" t="inlineStr">
        <x:is>
          <x:t xml:space="preserve">10 troubleshooting cards + mock interview #1</x:t>
        </x:is>
      </x:c>
      <x:c r="E17" s="7" t="inlineStr">
        <x:is>
          <x:t xml:space="preserve">10 cards + interview notes</x:t>
        </x:is>
      </x:c>
    </x:row>
    <x:row r="18" ht="34" customHeight="1">
      <x:c r="A18" s="13" t="n">
        <x:v>5</x:v>
      </x:c>
      <x:c r="B18" s="16" t="inlineStr">
        <x:is>
          <x:t xml:space="preserve">Python</x:t>
        </x:is>
      </x:c>
      <x:c r="C18" s="7" t="inlineStr">
        <x:is>
          <x:t xml:space="preserve">Синтаксис, циклы, функции, файлы</x:t>
        </x:is>
      </x:c>
      <x:c r="D18" s="7" t="inlineStr">
        <x:is>
          <x:t xml:space="preserve">Первые скрипты и GitHub README</x:t>
        </x:is>
      </x:c>
      <x:c r="E18" s="7" t="inlineStr">
        <x:is>
          <x:t xml:space="preserve">Script 1 + Python notes</x:t>
        </x:is>
      </x:c>
    </x:row>
    <x:row r="19" ht="34" customHeight="1">
      <x:c r="A19" s="13" t="n">
        <x:v>6</x:v>
      </x:c>
      <x:c r="B19" s="16" t="inlineStr">
        <x:is>
          <x:t xml:space="preserve">Python Automation</x:t>
        </x:is>
      </x:c>
      <x:c r="C19" s="7" t="inlineStr">
        <x:is>
          <x:t xml:space="preserve">CSV/JSON, regex, subprocess, автоматизация</x:t>
        </x:is>
      </x:c>
      <x:c r="D19" s="7" t="inlineStr">
        <x:is>
          <x:t xml:space="preserve">4 прикладных скрипта</x:t>
        </x:is>
      </x:c>
      <x:c r="E19" s="7" t="inlineStr">
        <x:is>
          <x:t xml:space="preserve">4 scripts + README</x:t>
        </x:is>
      </x:c>
    </x:row>
    <x:row r="20" ht="34" customHeight="1">
      <x:c r="A20" s="13" t="n">
        <x:v>7</x:v>
      </x:c>
      <x:c r="B20" s="17" t="inlineStr">
        <x:is>
          <x:t xml:space="preserve">Cybersecurity</x:t>
        </x:is>
      </x:c>
      <x:c r="C20" s="7" t="inlineStr">
        <x:is>
          <x:t xml:space="preserve">CIA, MFA, phishing, hardening</x:t>
        </x:is>
      </x:c>
      <x:c r="D20" s="7" t="inlineStr">
        <x:is>
          <x:t xml:space="preserve">Чеклист защиты ПК + Event Viewer notes</x:t>
        </x:is>
      </x:c>
      <x:c r="E20" s="7" t="inlineStr">
        <x:is>
          <x:t xml:space="preserve">Hardening checklist + logs</x:t>
        </x:is>
      </x:c>
    </x:row>
    <x:row r="21" ht="34" customHeight="1">
      <x:c r="A21" s="13" t="n">
        <x:v>8</x:v>
      </x:c>
      <x:c r="B21" s="17" t="inlineStr">
        <x:is>
          <x:t xml:space="preserve">Security Operations</x:t>
        </x:is>
      </x:c>
      <x:c r="C21" s="7" t="inlineStr">
        <x:is>
          <x:t xml:space="preserve">SOC/SIEM, IOC, инциденты, IAM</x:t>
        </x:is>
      </x:c>
      <x:c r="D21" s="7" t="inlineStr">
        <x:is>
          <x:t xml:space="preserve">Мини-отчет по инциденту + CC notes</x:t>
        </x:is>
      </x:c>
      <x:c r="E21" s="7" t="inlineStr">
        <x:is>
          <x:t xml:space="preserve">Incident report + CC notes</x:t>
        </x:is>
      </x:c>
    </x:row>
    <x:row r="22" ht="34" customHeight="1">
      <x:c r="A22" s="13" t="n">
        <x:v>9</x:v>
      </x:c>
      <x:c r="B22" s="18" t="inlineStr">
        <x:is>
          <x:t xml:space="preserve">Переход к работе</x:t>
        </x:is>
      </x:c>
      <x:c r="C22" s="7" t="inlineStr">
        <x:is>
          <x:t xml:space="preserve">Тикеты, интервью, диагностика, AI workflow</x:t>
        </x:is>
      </x:c>
      <x:c r="D22" s="7" t="inlineStr">
        <x:is>
          <x:t xml:space="preserve">Lab document v2 + 15 simulated tickets</x:t>
        </x:is>
      </x:c>
      <x:c r="E22" s="7" t="inlineStr">
        <x:is>
          <x:t xml:space="preserve">Lab v2 + 15 tickets</x:t>
        </x:is>
      </x:c>
    </x:row>
    <x:row r="23" ht="34" customHeight="1">
      <x:c r="A23" s="13" t="n">
        <x:v>10</x:v>
      </x:c>
      <x:c r="B23" s="18" t="inlineStr">
        <x:is>
          <x:t xml:space="preserve">Упаковка</x:t>
        </x:is>
      </x:c>
      <x:c r="C23" s="7" t="inlineStr">
        <x:is>
          <x:t xml:space="preserve">Резюме, HH, LinkedIn, GitHub</x:t>
        </x:is>
      </x:c>
      <x:c r="D23" s="7" t="inlineStr">
        <x:is>
          <x:t xml:space="preserve">Пакет для откликов + список 30 вакансий</x:t>
        </x:is>
      </x:c>
      <x:c r="E23" s="7" t="inlineStr">
        <x:is>
          <x:t xml:space="preserve">Resume, HH, LinkedIn, shortlist</x:t>
        </x:is>
      </x:c>
    </x:row>
    <x:row r="24" ht="34" customHeight="1">
      <x:c r="A24" s="13" t="n">
        <x:v>11</x:v>
      </x:c>
      <x:c r="B24" s="19" t="inlineStr">
        <x:is>
          <x:t xml:space="preserve">Отклики</x:t>
        </x:is>
      </x:c>
      <x:c r="C24" s="7" t="inlineStr">
        <x:is>
          <x:t xml:space="preserve">Интервью и серия откликов</x:t>
        </x:is>
      </x:c>
      <x:c r="D24" s="7" t="inlineStr">
        <x:is>
          <x:t xml:space="preserve">30 откликов + mock interview #3</x:t>
        </x:is>
      </x:c>
      <x:c r="E24" s="7" t="inlineStr">
        <x:is>
          <x:t xml:space="preserve">30 applications + interview answers</x:t>
        </x:is>
      </x:c>
    </x:row>
    <x:row r="25" ht="34" customHeight="1">
      <x:c r="A25" s="13" t="n">
        <x:v>12</x:v>
      </x:c>
      <x:c r="B25" s="20" t="inlineStr">
        <x:is>
          <x:t xml:space="preserve">Финишный спринт</x:t>
        </x:is>
      </x:c>
      <x:c r="C25" s="7" t="inlineStr">
        <x:is>
          <x:t xml:space="preserve">Добивка пробелов, финальные отклики, план на 30 дней</x:t>
        </x:is>
      </x:c>
      <x:c r="D25" s="7" t="inlineStr">
        <x:is>
          <x:t xml:space="preserve">Финальный пакет + next 30-day plan</x:t>
        </x:is>
      </x:c>
      <x:c r="E25" s="7" t="inlineStr">
        <x:is>
          <x:t xml:space="preserve">Next 30-day plan + final package</x:t>
        </x:is>
      </x:c>
    </x:row>
    <x:row r="27">
      <x:c r="A27" s="3" t="inlineStr">
        <x:is>
          <x:t xml:space="preserve">Легенда цветов</x:t>
        </x:is>
      </x:c>
      <x:c r="B27" s="31" t="n"/>
      <x:c r="C27" s="31" t="n"/>
      <x:c r="D27" s="31" t="n"/>
      <x:c r="E27" s="32" t="n"/>
    </x:row>
    <x:row r="28">
      <x:c r="A28" s="21" t="inlineStr">
        <x:is>
          <x:t xml:space="preserve">Светло-синий фон</x:t>
        </x:is>
      </x:c>
      <x:c r="B28" s="7" t="inlineStr">
        <x:is>
          <x:t xml:space="preserve">Ты заполняешь вручную: статус, заметки, ссылки</x:t>
        </x:is>
      </x:c>
      <x:c r="C28" s="31" t="n"/>
      <x:c r="D28" s="31" t="n"/>
      <x:c r="E28" s="32" t="n"/>
    </x:row>
    <x:row r="29">
      <x:c r="A29" s="21" t="inlineStr">
        <x:is>
          <x:t xml:space="preserve">Серый фон</x:t>
        </x:is>
      </x:c>
      <x:c r="B29" s="7" t="inlineStr">
        <x:is>
          <x:t xml:space="preserve">Статичные подписи и служебные блоки</x:t>
        </x:is>
      </x:c>
      <x:c r="C29" s="31" t="n"/>
      <x:c r="D29" s="31" t="n"/>
      <x:c r="E29" s="32" t="n"/>
    </x:row>
    <x:row r="30">
      <x:c r="A30" s="21" t="inlineStr">
        <x:is>
          <x:t xml:space="preserve">Черный текст</x:t>
        </x:is>
      </x:c>
      <x:c r="B30" s="7" t="inlineStr">
        <x:is>
          <x:t xml:space="preserve">План, инструкции, формулы</x:t>
        </x:is>
      </x:c>
      <x:c r="C30" s="31" t="n"/>
      <x:c r="D30" s="31" t="n"/>
      <x:c r="E30" s="32" t="n"/>
    </x:row>
    <x:row r="31">
      <x:c r="A31" s="21" t="inlineStr">
        <x:is>
          <x:t xml:space="preserve">Цвет в колонке 'Модуль'</x:t>
        </x:is>
      </x:c>
      <x:c r="B31" s="7" t="inlineStr">
        <x:is>
          <x:t xml:space="preserve">Показывает фазу обучения</x:t>
        </x:is>
      </x:c>
      <x:c r="C31" s="31" t="n"/>
      <x:c r="D31" s="31" t="n"/>
      <x:c r="E31" s="32" t="n"/>
    </x:row>
  </x:sheetData>
  <x:mergeCells>
    <x:mergeCell ref="A12:H12"/>
    <x:mergeCell ref="G4:H4"/>
    <x:mergeCell ref="B31:E31"/>
    <x:mergeCell ref="G7:H7"/>
    <x:mergeCell ref="B30:E30"/>
    <x:mergeCell ref="B28:E28"/>
    <x:mergeCell ref="G5:H5"/>
    <x:mergeCell ref="B29:E29"/>
    <x:mergeCell ref="G6:H6"/>
    <x:mergeCell ref="A1:H1"/>
    <x:mergeCell ref="G8:H8"/>
    <x:mergeCell ref="D3:E3"/>
    <x:mergeCell ref="A3:B3"/>
    <x:mergeCell ref="G3:H3"/>
    <x:mergeCell ref="A27:E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8" customWidth="1"/>
    <x:col min="3" max="3" width="22" customWidth="1"/>
    <x:col min="4" max="4" width="34" customWidth="1"/>
    <x:col min="5" max="5" width="34" customWidth="1"/>
    <x:col min="6" max="6" width="24" customWidth="1"/>
    <x:col min="7" max="7" width="26" customWidth="1"/>
    <x:col min="8" max="8" width="24" customWidth="1"/>
    <x:col min="9" max="9" width="14" customWidth="1"/>
  </x:cols>
  <x:sheetData>
    <x:row r="1">
      <x:c r="A1" s="1" t="inlineStr">
        <x:is>
          <x:t xml:space="preserve">Неделя 1 — запуск фундамента (10–16 марта 2026)</x:t>
        </x:is>
      </x:c>
      <x:c r="B1" s="31" t="n"/>
      <x:c r="C1" s="31" t="n"/>
      <x:c r="D1" s="31" t="n"/>
      <x:c r="E1" s="31" t="n"/>
      <x:c r="F1" s="31" t="n"/>
      <x:c r="G1" s="31" t="n"/>
      <x:c r="H1" s="31" t="n"/>
      <x:c r="I1" s="32" t="n"/>
    </x:row>
    <x:row r="2">
      <x:c r="A2" s="22" t="inlineStr">
        <x:is>
          <x:t xml:space="preserve">Режим недели: 20 мин английский + 80 мин обучение + 70 мин практика + 30 мин конспект. День 7 — облегченный review day.</x:t>
        </x:is>
      </x:c>
      <x:c r="B2" s="31" t="n"/>
      <x:c r="C2" s="31" t="n"/>
      <x:c r="D2" s="31" t="n"/>
      <x:c r="E2" s="31" t="n"/>
      <x:c r="F2" s="31" t="n"/>
      <x:c r="G2" s="31" t="n"/>
      <x:c r="H2" s="31" t="n"/>
      <x:c r="I2" s="32" t="n"/>
    </x:row>
    <x:row r="4">
      <x:c r="A4" s="12" t="inlineStr">
        <x:is>
          <x:t xml:space="preserve">Дата</x:t>
        </x:is>
      </x:c>
      <x:c r="B4" s="12" t="inlineStr">
        <x:is>
          <x:t xml:space="preserve">День</x:t>
        </x:is>
      </x:c>
      <x:c r="C4" s="12" t="inlineStr">
        <x:is>
          <x:t xml:space="preserve">Фокус</x:t>
        </x:is>
      </x:c>
      <x:c r="D4" s="12" t="inlineStr">
        <x:is>
          <x:t xml:space="preserve">Теория (80 мин)</x:t>
        </x:is>
      </x:c>
      <x:c r="E4" s="12" t="inlineStr">
        <x:is>
          <x:t xml:space="preserve">Практика руками (70 мин)</x:t>
        </x:is>
      </x:c>
      <x:c r="F4" s="12" t="inlineStr">
        <x:is>
          <x:t xml:space="preserve">Английский (20 мин)</x:t>
        </x:is>
      </x:c>
      <x:c r="G4" s="12" t="inlineStr">
        <x:is>
          <x:t xml:space="preserve">Конспект / рефлексия (30 мин)</x:t>
        </x:is>
      </x:c>
      <x:c r="H4" s="12" t="inlineStr">
        <x:is>
          <x:t xml:space="preserve">Артефакт дня</x:t>
        </x:is>
      </x:c>
      <x:c r="I4" s="12" t="inlineStr">
        <x:is>
          <x:t xml:space="preserve">Статус</x:t>
        </x:is>
      </x:c>
    </x:row>
    <x:row r="5" ht="48" customHeight="1">
      <x:c r="A5" s="36" t="inlineStr">
        <x:is>
          <x:t xml:space="preserve">10.03.2026</x:t>
        </x:is>
      </x:c>
      <x:c r="B5" s="24" t="inlineStr">
        <x:is>
          <x:t xml:space="preserve">Вт</x:t>
        </x:is>
      </x:c>
      <x:c r="C5" s="14" t="inlineStr">
        <x:is>
          <x:t xml:space="preserve">Старт: инструменты и структура</x:t>
        </x:is>
      </x:c>
      <x:c r="D5" s="7" t="inlineStr">
        <x:is>
          <x:t xml:space="preserve">Разобрать план на 12 недель. Установить Git, VS Code, VirtualBox, 7-Zip. Создать папки проекта.</x:t>
        </x:is>
      </x:c>
      <x:c r="E5" s="7" t="inlineStr">
        <x:is>
          <x:t xml:space="preserve">Создать GitHub-аккаунт и репозиторий it-journey. Снять базовый аудит ПК: ОС, RAM, диск.</x:t>
        </x:is>
      </x:c>
      <x:c r="F5" s="7" t="inlineStr">
        <x:is>
          <x:t xml:space="preserve">10 слов: file, folder, install, update, settings, disk, memory, system, terminal, user</x:t>
        </x:is>
      </x:c>
      <x:c r="G5" s="7" t="inlineStr">
        <x:is>
          <x:t xml:space="preserve">Коротко: что понял, что не понял, что повторить завтра.</x:t>
        </x:is>
      </x:c>
      <x:c r="H5" s="7" t="inlineStr">
        <x:is>
          <x:t xml:space="preserve">GitHub repo + базовый аудит ПК</x:t>
        </x:is>
      </x:c>
      <x:c r="I5" s="25" t="inlineStr">
        <x:is>
          <x:t xml:space="preserve"/>
        </x:is>
      </x:c>
    </x:row>
    <x:row r="6" ht="48" customHeight="1">
      <x:c r="A6" s="36" t="inlineStr">
        <x:is>
          <x:t xml:space="preserve">11.03.2026</x:t>
        </x:is>
      </x:c>
      <x:c r="B6" s="24" t="inlineStr">
        <x:is>
          <x:t xml:space="preserve">Ср</x:t>
        </x:is>
      </x:c>
      <x:c r="C6" s="14" t="inlineStr">
        <x:is>
          <x:t xml:space="preserve">Сеть: IP, DNS, HTTP/HTTPS, порты</x:t>
        </x:is>
      </x:c>
      <x:c r="D6" s="7" t="inlineStr">
        <x:is>
          <x:t xml:space="preserve">Понять, что такое IP-адрес, DNS, порт, HTTP и HTTPS. Записать по 1 примеру на каждый термин.</x:t>
        </x:is>
      </x:c>
      <x:c r="E6" s="7" t="inlineStr">
        <x:is>
          <x:t xml:space="preserve">Команды: ipconfig / ifconfig, ping, nslookup. Сохранить результаты и короткие выводы.</x:t>
        </x:is>
      </x:c>
      <x:c r="F6" s="7" t="inlineStr">
        <x:is>
          <x:t xml:space="preserve">10 слов по сети: network, address, port, domain, packet, browser, request, response, route, firewall</x:t>
        </x:is>
      </x:c>
      <x:c r="G6" s="7" t="inlineStr">
        <x:is>
          <x:t xml:space="preserve">Коротко: что понял, что не понял, что повторить завтра.</x:t>
        </x:is>
      </x:c>
      <x:c r="H6" s="7" t="inlineStr">
        <x:is>
          <x:t xml:space="preserve">Шпаргалка по сети на 1 страницу</x:t>
        </x:is>
      </x:c>
      <x:c r="I6" s="25" t="inlineStr">
        <x:is>
          <x:t xml:space="preserve"/>
        </x:is>
      </x:c>
    </x:row>
    <x:row r="7" ht="48" customHeight="1">
      <x:c r="A7" s="36" t="inlineStr">
        <x:is>
          <x:t xml:space="preserve">12.03.2026</x:t>
        </x:is>
      </x:c>
      <x:c r="B7" s="24" t="inlineStr">
        <x:is>
          <x:t xml:space="preserve">Чт</x:t>
        </x:is>
      </x:c>
      <x:c r="C7" s="14" t="inlineStr">
        <x:is>
          <x:t xml:space="preserve">Виртуализация и VM</x:t>
        </x:is>
      </x:c>
      <x:c r="D7" s="7" t="inlineStr">
        <x:is>
          <x:t xml:space="preserve">Понять, что такое VM, ISO, snapshot, host, guest. Записать зачем нужна лаборатория.</x:t>
        </x:is>
      </x:c>
      <x:c r="E7" s="7" t="inlineStr">
        <x:is>
          <x:t xml:space="preserve">Установить Ubuntu VM, сделать первый snapshot, обновить систему.</x:t>
        </x:is>
      </x:c>
      <x:c r="F7" s="7" t="inlineStr">
        <x:is>
          <x:t xml:space="preserve">10 слов: virtual machine, host, guest, snapshot, boot, image, update, package, server, shell</x:t>
        </x:is>
      </x:c>
      <x:c r="G7" s="7" t="inlineStr">
        <x:is>
          <x:t xml:space="preserve">Коротко: что понял, что не понял, что повторить завтра.</x:t>
        </x:is>
      </x:c>
      <x:c r="H7" s="7" t="inlineStr">
        <x:is>
          <x:t xml:space="preserve">Рабочая Ubuntu VM + screenshot</x:t>
        </x:is>
      </x:c>
      <x:c r="I7" s="25" t="inlineStr">
        <x:is>
          <x:t xml:space="preserve"/>
        </x:is>
      </x:c>
    </x:row>
    <x:row r="8" ht="48" customHeight="1">
      <x:c r="A8" s="36" t="inlineStr">
        <x:is>
          <x:t xml:space="preserve">13.03.2026</x:t>
        </x:is>
      </x:c>
      <x:c r="B8" s="24" t="inlineStr">
        <x:is>
          <x:t xml:space="preserve">Пт</x:t>
        </x:is>
      </x:c>
      <x:c r="C8" s="14" t="inlineStr">
        <x:is>
          <x:t xml:space="preserve">Linux terminal: навигация и файлы</x:t>
        </x:is>
      </x:c>
      <x:c r="D8" s="7" t="inlineStr">
        <x:is>
          <x:t xml:space="preserve">Команды: pwd, ls, cd, mkdir, touch, cp, mv, rm, cat. Понять разницу между относительным и абсолютным путем.</x:t>
        </x:is>
      </x:c>
      <x:c r="E8" s="7" t="inlineStr">
        <x:is>
          <x:t xml:space="preserve">Создать дерево папок, несколько файлов, переместить и скопировать их, сделать текстовую заметку в Linux.</x:t>
        </x:is>
      </x:c>
      <x:c r="F8" s="7" t="inlineStr">
        <x:is>
          <x:t xml:space="preserve">10 слов: command, path, directory, copy, move, delete, list, create, open, save</x:t>
        </x:is>
      </x:c>
      <x:c r="G8" s="7" t="inlineStr">
        <x:is>
          <x:t xml:space="preserve">Коротко: что понял, что не понял, что повторить завтра.</x:t>
        </x:is>
      </x:c>
      <x:c r="H8" s="7" t="inlineStr">
        <x:is>
          <x:t xml:space="preserve">Linux cheat sheet v1</x:t>
        </x:is>
      </x:c>
      <x:c r="I8" s="25" t="inlineStr">
        <x:is>
          <x:t xml:space="preserve"/>
        </x:is>
      </x:c>
    </x:row>
    <x:row r="9" ht="48" customHeight="1">
      <x:c r="A9" s="36" t="inlineStr">
        <x:is>
          <x:t xml:space="preserve">14.03.2026</x:t>
        </x:is>
      </x:c>
      <x:c r="B9" s="24" t="inlineStr">
        <x:is>
          <x:t xml:space="preserve">Сб</x:t>
        </x:is>
      </x:c>
      <x:c r="C9" s="14" t="inlineStr">
        <x:is>
          <x:t xml:space="preserve">Пользователи и права в Linux</x:t>
        </x:is>
      </x:c>
      <x:c r="D9" s="7" t="inlineStr">
        <x:is>
          <x:t xml:space="preserve">Что такое user, group, sudo, permission. Понять rwx и зачем нужен least privilege.</x:t>
        </x:is>
      </x:c>
      <x:c r="E9" s="7" t="inlineStr">
        <x:is>
          <x:t xml:space="preserve">Команды: whoami, sudo, chmod, chown. Создать нового пользователя и выдать права на папку.</x:t>
        </x:is>
      </x:c>
      <x:c r="F9" s="7" t="inlineStr">
        <x:is>
          <x:t xml:space="preserve">10 слов: permission, owner, group, access, login, password, sudo, execute, read, write</x:t>
        </x:is>
      </x:c>
      <x:c r="G9" s="7" t="inlineStr">
        <x:is>
          <x:t xml:space="preserve">Коротко: что понял, что не понял, что повторить завтра.</x:t>
        </x:is>
      </x:c>
      <x:c r="H9" s="7" t="inlineStr">
        <x:is>
          <x:t xml:space="preserve">Заметки по правам + screenshot</x:t>
        </x:is>
      </x:c>
      <x:c r="I9" s="25" t="inlineStr">
        <x:is>
          <x:t xml:space="preserve"/>
        </x:is>
      </x:c>
    </x:row>
    <x:row r="10" ht="48" customHeight="1">
      <x:c r="A10" s="36" t="inlineStr">
        <x:is>
          <x:t xml:space="preserve">15.03.2026</x:t>
        </x:is>
      </x:c>
      <x:c r="B10" s="24" t="inlineStr">
        <x:is>
          <x:t xml:space="preserve">Вс</x:t>
        </x:is>
      </x:c>
      <x:c r="C10" s="14" t="inlineStr">
        <x:is>
          <x:t xml:space="preserve">Windows диагностика</x:t>
        </x:is>
      </x:c>
      <x:c r="D10" s="7" t="inlineStr">
        <x:is>
          <x:t xml:space="preserve">Изучить Task Manager, Services, Startup Apps, Event Viewer. Понять, где искать симптомы проблем.</x:t>
        </x:is>
      </x:c>
      <x:c r="E10" s="7" t="inlineStr">
        <x:is>
          <x:t xml:space="preserve">Проверить автозагрузку, память, диск и свежие системные события на своем ПК. Безопасно отключить 1 лишний startup app.</x:t>
        </x:is>
      </x:c>
      <x:c r="F10" s="7" t="inlineStr">
        <x:is>
          <x:t xml:space="preserve">10 слов: process, service, startup, log, event, issue, crash, restart, resource, device</x:t>
        </x:is>
      </x:c>
      <x:c r="G10" s="7" t="inlineStr">
        <x:is>
          <x:t xml:space="preserve">Коротко: что понял, что не понял, что повторить завтра.</x:t>
        </x:is>
      </x:c>
      <x:c r="H10" s="7" t="inlineStr">
        <x:is>
          <x:t xml:space="preserve">Windows checklist диагностики</x:t>
        </x:is>
      </x:c>
      <x:c r="I10" s="25" t="inlineStr">
        <x:is>
          <x:t xml:space="preserve"/>
        </x:is>
      </x:c>
    </x:row>
    <x:row r="11" ht="48" customHeight="1">
      <x:c r="A11" s="36" t="inlineStr">
        <x:is>
          <x:t xml:space="preserve">16.03.2026</x:t>
        </x:is>
      </x:c>
      <x:c r="B11" s="24" t="inlineStr">
        <x:is>
          <x:t xml:space="preserve">Пн</x:t>
        </x:is>
      </x:c>
      <x:c r="C11" s="14" t="inlineStr">
        <x:is>
          <x:t xml:space="preserve">Повторение недели 1</x:t>
        </x:is>
      </x:c>
      <x:c r="D11" s="7" t="inlineStr">
        <x:is>
          <x:t xml:space="preserve">Повторить все команды и термины недели. Отметить 3 темы, которые еще плавают.</x:t>
        </x:is>
      </x:c>
      <x:c r="E11" s="7" t="inlineStr">
        <x:is>
          <x:t xml:space="preserve">Залить все заметки и скриншоты в GitHub. Написать короткое summary: понял / не понял / повторить.</x:t>
        </x:is>
      </x:c>
      <x:c r="F11" s="7" t="inlineStr">
        <x:is>
          <x:t xml:space="preserve">Повтор 60–70 слов недели. Прочитать 1 короткий англ. абзац и перевести.</x:t>
        </x:is>
      </x:c>
      <x:c r="G11" s="7" t="inlineStr">
        <x:is>
          <x:t xml:space="preserve">Коротко: что понял, что не понял, что повторить завтра.</x:t>
        </x:is>
      </x:c>
      <x:c r="H11" s="7" t="inlineStr">
        <x:is>
          <x:t xml:space="preserve">Week 1 summary + 50 терминов</x:t>
        </x:is>
      </x:c>
      <x:c r="I11" s="25" t="inlineStr">
        <x:is>
          <x:t xml:space="preserve"/>
        </x:is>
      </x:c>
    </x:row>
    <x:row r="13">
      <x:c r="A13" s="3" t="inlineStr">
        <x:is>
          <x:t xml:space="preserve">Мини-чеклист к концу недели 1</x:t>
        </x:is>
      </x:c>
      <x:c r="B13" s="31" t="n"/>
      <x:c r="C13" s="31" t="n"/>
      <x:c r="D13" s="31" t="n"/>
      <x:c r="E13" s="31" t="n"/>
      <x:c r="F13" s="31" t="n"/>
      <x:c r="G13" s="31" t="n"/>
      <x:c r="H13" s="31" t="n"/>
      <x:c r="I13" s="32" t="n"/>
    </x:row>
    <x:row r="14">
      <x:c r="A14" s="12" t="inlineStr">
        <x:is>
          <x:t xml:space="preserve">Контрольная точка</x:t>
        </x:is>
      </x:c>
      <x:c r="B14" s="12" t="inlineStr">
        <x:is>
          <x:t xml:space="preserve">Критерий готовности</x:t>
        </x:is>
      </x:c>
      <x:c r="C14" s="31" t="n"/>
      <x:c r="D14" s="31" t="n"/>
      <x:c r="E14" s="31" t="n"/>
      <x:c r="F14" s="31" t="n"/>
      <x:c r="G14" s="31" t="n"/>
      <x:c r="H14" s="32" t="n"/>
    </x:row>
    <x:row r="15" ht="28" customHeight="1">
      <x:c r="A15" s="21" t="inlineStr">
        <x:is>
          <x:t xml:space="preserve">GitHub repo</x:t>
        </x:is>
      </x:c>
      <x:c r="B15" s="7" t="inlineStr">
        <x:is>
          <x:t xml:space="preserve">Создан repo it-journey и есть минимум 1 commit</x:t>
        </x:is>
      </x:c>
      <x:c r="C15" s="31" t="n"/>
      <x:c r="D15" s="31" t="n"/>
      <x:c r="E15" s="31" t="n"/>
      <x:c r="F15" s="31" t="n"/>
      <x:c r="G15" s="31" t="n"/>
      <x:c r="H15" s="32" t="n"/>
      <x:c r="I15" s="25" t="inlineStr">
        <x:is>
          <x:t xml:space="preserve"/>
        </x:is>
      </x:c>
    </x:row>
    <x:row r="16" ht="28" customHeight="1">
      <x:c r="A16" s="21" t="inlineStr">
        <x:is>
          <x:t xml:space="preserve">Ubuntu VM</x:t>
        </x:is>
      </x:c>
      <x:c r="B16" s="7" t="inlineStr">
        <x:is>
          <x:t xml:space="preserve">VM запускается, обновлена и есть первый snapshot</x:t>
        </x:is>
      </x:c>
      <x:c r="C16" s="31" t="n"/>
      <x:c r="D16" s="31" t="n"/>
      <x:c r="E16" s="31" t="n"/>
      <x:c r="F16" s="31" t="n"/>
      <x:c r="G16" s="31" t="n"/>
      <x:c r="H16" s="32" t="n"/>
      <x:c r="I16" s="25" t="inlineStr">
        <x:is>
          <x:t xml:space="preserve"/>
        </x:is>
      </x:c>
    </x:row>
    <x:row r="17" ht="28" customHeight="1">
      <x:c r="A17" s="21" t="inlineStr">
        <x:is>
          <x:t xml:space="preserve">Network notes</x:t>
        </x:is>
      </x:c>
      <x:c r="B17" s="7" t="inlineStr">
        <x:is>
          <x:t xml:space="preserve">Есть шпаргалка по IP/DNS/HTTP/ports</x:t>
        </x:is>
      </x:c>
      <x:c r="C17" s="31" t="n"/>
      <x:c r="D17" s="31" t="n"/>
      <x:c r="E17" s="31" t="n"/>
      <x:c r="F17" s="31" t="n"/>
      <x:c r="G17" s="31" t="n"/>
      <x:c r="H17" s="32" t="n"/>
      <x:c r="I17" s="25" t="inlineStr">
        <x:is>
          <x:t xml:space="preserve"/>
        </x:is>
      </x:c>
    </x:row>
    <x:row r="18" ht="28" customHeight="1">
      <x:c r="A18" s="21" t="inlineStr">
        <x:is>
          <x:t xml:space="preserve">Linux basics</x:t>
        </x:is>
      </x:c>
      <x:c r="B18" s="7" t="inlineStr">
        <x:is>
          <x:t xml:space="preserve">Есть шпаргалка по командам pwd/ls/cd/mkdir/touch/cp/mv/rm/cat</x:t>
        </x:is>
      </x:c>
      <x:c r="C18" s="31" t="n"/>
      <x:c r="D18" s="31" t="n"/>
      <x:c r="E18" s="31" t="n"/>
      <x:c r="F18" s="31" t="n"/>
      <x:c r="G18" s="31" t="n"/>
      <x:c r="H18" s="32" t="n"/>
      <x:c r="I18" s="25" t="inlineStr">
        <x:is>
          <x:t xml:space="preserve"/>
        </x:is>
      </x:c>
    </x:row>
    <x:row r="19" ht="28" customHeight="1">
      <x:c r="A19" s="21" t="inlineStr">
        <x:is>
          <x:t xml:space="preserve">Windows checklist</x:t>
        </x:is>
      </x:c>
      <x:c r="B19" s="7" t="inlineStr">
        <x:is>
          <x:t xml:space="preserve">Есть заметка по Task Manager / Event Viewer / Services</x:t>
        </x:is>
      </x:c>
      <x:c r="C19" s="31" t="n"/>
      <x:c r="D19" s="31" t="n"/>
      <x:c r="E19" s="31" t="n"/>
      <x:c r="F19" s="31" t="n"/>
      <x:c r="G19" s="31" t="n"/>
      <x:c r="H19" s="32" t="n"/>
      <x:c r="I19" s="25" t="inlineStr">
        <x:is>
          <x:t xml:space="preserve"/>
        </x:is>
      </x:c>
    </x:row>
    <x:row r="20" ht="28" customHeight="1">
      <x:c r="A20" s="21" t="inlineStr">
        <x:is>
          <x:t xml:space="preserve">Week summary</x:t>
        </x:is>
      </x:c>
      <x:c r="B20" s="7" t="inlineStr">
        <x:is>
          <x:t xml:space="preserve">В GitHub есть summary недели и не меньше 50 терминов</x:t>
        </x:is>
      </x:c>
      <x:c r="C20" s="31" t="n"/>
      <x:c r="D20" s="31" t="n"/>
      <x:c r="E20" s="31" t="n"/>
      <x:c r="F20" s="31" t="n"/>
      <x:c r="G20" s="31" t="n"/>
      <x:c r="H20" s="32" t="n"/>
      <x:c r="I20" s="25" t="inlineStr">
        <x:is>
          <x:t xml:space="preserve"/>
        </x:is>
      </x:c>
    </x:row>
    <x:row r="22">
      <x:c r="A22" s="3" t="inlineStr">
        <x:is>
          <x:t xml:space="preserve">Сводка недели 1</x:t>
        </x:is>
      </x:c>
      <x:c r="B22" s="31" t="n"/>
      <x:c r="C22" s="31" t="n"/>
      <x:c r="D22" s="32" t="n"/>
    </x:row>
    <x:row r="23">
      <x:c r="A23" s="27" t="inlineStr">
        <x:is>
          <x:t xml:space="preserve">Дней со статусом 'Готово'</x:t>
        </x:is>
      </x:c>
      <x:c r="B23" s="7">
        <x:f>COUNTIF(I5:I11,"Готово")</x:f>
        <x:v>0</x:v>
      </x:c>
    </x:row>
    <x:row r="24">
      <x:c r="A24" s="27" t="inlineStr">
        <x:is>
          <x:t xml:space="preserve">Контрольных точек 'Готово'</x:t>
        </x:is>
      </x:c>
      <x:c r="B24" s="7">
        <x:f>COUNTIF(I15:I20,"Готово")</x:f>
        <x:v>0</x:v>
      </x:c>
    </x:row>
    <x:row r="25">
      <x:c r="A25" s="27" t="inlineStr">
        <x:is>
          <x:t xml:space="preserve">Прогресс недели</x:t>
        </x:is>
      </x:c>
      <x:c r="B25" s="35">
        <x:f>IF(COUNTA(I5:I11)=0,0,COUNTIF(I5:I11,"Готово")/7)</x:f>
        <x:v>0</x:v>
      </x:c>
    </x:row>
  </x:sheetData>
  <x:mergeCells>
    <x:mergeCell ref="B14:H14"/>
    <x:mergeCell ref="A2:I2"/>
    <x:mergeCell ref="B17:H17"/>
    <x:mergeCell ref="B18:H18"/>
    <x:mergeCell ref="A22:D22"/>
    <x:mergeCell ref="A13:I13"/>
    <x:mergeCell ref="A1:I1"/>
    <x:mergeCell ref="B16:H16"/>
    <x:mergeCell ref="B15:H15"/>
    <x:mergeCell ref="B19:H19"/>
    <x:mergeCell ref="B20:H20"/>
  </x:mergeCells>
  <x:conditionalFormatting sqref="I5:I11">
    <x:cfRule type="expression" dxfId="0" priority="1">
      <x:formula>$I5="Готово"</x:formula>
    </x:cfRule>
    <x:cfRule type="expression" dxfId="1" priority="2">
      <x:formula>$I5="В процессе"</x:formula>
    </x:cfRule>
    <x:cfRule type="expression" dxfId="2" priority="3">
      <x:formula>$I5="Пропуск"</x:formula>
    </x:cfRule>
  </x:conditionalFormatting>
  <x:conditionalFormatting sqref="I15:I20">
    <x:cfRule type="expression" dxfId="0" priority="4">
      <x:formula>$I15="Готово"</x:formula>
    </x:cfRule>
    <x:cfRule type="expression" dxfId="1" priority="5">
      <x:formula>$I15="В процессе"</x:formula>
    </x:cfRule>
    <x:cfRule type="expression" dxfId="2" priority="6">
      <x:formula>$I15="Пропуск"</x:formula>
    </x:cfRule>
  </x:conditionalFormatting>
  <x:dataValidations count="2">
    <x:dataValidation type="list" allowBlank="1" showDropDown="0" showInputMessage="0" showErrorMessage="0" error="Выбери статус из списка." prompt="Выбери статус." sqref="I5:I11">
      <x:formula1>"Не начато,В процессе,Готово,Пропуск"</x:formula1>
    </x:dataValidation>
    <x:dataValidation type="list" allowBlank="1" showDropDown="0" showInputMessage="0" showErrorMessage="0" error="Выбери статус из списка." prompt="Выбери статус." sqref="I15:I20">
      <x:formula1>"Не начато,В процессе,Готово,Пропуск"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8" customWidth="1"/>
    <x:col min="4" max="4" width="20" customWidth="1"/>
    <x:col min="5" max="5" width="40" customWidth="1"/>
    <x:col min="6" max="6" width="40" customWidth="1"/>
    <x:col min="7" max="7" width="26" customWidth="1"/>
    <x:col min="8" max="8" width="24" customWidth="1"/>
    <x:col min="9" max="9" width="14" customWidth="1"/>
    <x:col min="10" max="10" width="8" customWidth="1"/>
    <x:col min="11" max="11" width="14" customWidth="1"/>
    <x:col min="12" max="12" width="22" customWidth="1"/>
  </x:cols>
  <x:sheetData>
    <x:row r="1">
      <x:c r="A1" s="1" t="inlineStr">
        <x:is>
          <x:t xml:space="preserve">Помесячно-дневной план на 84 дня</x:t>
        </x:is>
      </x:c>
      <x:c r="B1" s="31" t="n"/>
      <x:c r="C1" s="31" t="n"/>
      <x:c r="D1" s="31" t="n"/>
      <x:c r="E1" s="31" t="n"/>
      <x:c r="F1" s="31" t="n"/>
      <x:c r="G1" s="31" t="n"/>
      <x:c r="H1" s="31" t="n"/>
      <x:c r="I1" s="31" t="n"/>
      <x:c r="J1" s="31" t="n"/>
      <x:c r="K1" s="31" t="n"/>
      <x:c r="L1" s="32" t="n"/>
    </x:row>
    <x:row r="2">
      <x:c r="A2" s="12" t="inlineStr">
        <x:is>
          <x:t xml:space="preserve">Дата</x:t>
        </x:is>
      </x:c>
      <x:c r="B2" s="12" t="inlineStr">
        <x:is>
          <x:t xml:space="preserve">Неделя</x:t>
        </x:is>
      </x:c>
      <x:c r="C2" s="12" t="inlineStr">
        <x:is>
          <x:t xml:space="preserve">День</x:t>
        </x:is>
      </x:c>
      <x:c r="D2" s="12" t="inlineStr">
        <x:is>
          <x:t xml:space="preserve">Модуль</x:t>
        </x:is>
      </x:c>
      <x:c r="E2" s="12" t="inlineStr">
        <x:is>
          <x:t xml:space="preserve">Теория / фокус</x:t>
        </x:is>
      </x:c>
      <x:c r="F2" s="12" t="inlineStr">
        <x:is>
          <x:t xml:space="preserve">Практика руками</x:t>
        </x:is>
      </x:c>
      <x:c r="G2" s="12" t="inlineStr">
        <x:is>
          <x:t xml:space="preserve">Английский / коммуникация</x:t>
        </x:is>
      </x:c>
      <x:c r="H2" s="12" t="inlineStr">
        <x:is>
          <x:t xml:space="preserve">Результат дня</x:t>
        </x:is>
      </x:c>
      <x:c r="I2" s="12" t="inlineStr">
        <x:is>
          <x:t xml:space="preserve">Статус</x:t>
        </x:is>
      </x:c>
      <x:c r="J2" s="12" t="inlineStr">
        <x:is>
          <x:t xml:space="preserve">Часы</x:t>
        </x:is>
      </x:c>
      <x:c r="K2" s="12" t="inlineStr">
        <x:is>
          <x:t xml:space="preserve">Накопленно, ч</x:t>
        </x:is>
      </x:c>
      <x:c r="L2" s="12" t="inlineStr">
        <x:is>
          <x:t xml:space="preserve">Заметки</x:t>
        </x:is>
      </x:c>
    </x:row>
    <x:row r="3" ht="42" customHeight="1">
      <x:c r="A3" s="36" t="inlineStr">
        <x:is>
          <x:t xml:space="preserve">10.03.2026</x:t>
        </x:is>
      </x:c>
      <x:c r="B3" s="24" t="inlineStr">
        <x:is>
          <x:t xml:space="preserve">Неделя 1</x:t>
        </x:is>
      </x:c>
      <x:c r="C3" s="24" t="n">
        <x:v>1</x:v>
      </x:c>
      <x:c r="D3" s="14" t="inlineStr">
        <x:is>
          <x:t xml:space="preserve">Фундамент</x:t>
        </x:is>
      </x:c>
      <x:c r="E3" s="7" t="inlineStr">
        <x:is>
          <x:t xml:space="preserve">Старт: инструменты и структура. Разобрать план на 12 недель. Установить Git, VS Code, VirtualBox, 7-Zip. Создать папки проекта.</x:t>
        </x:is>
      </x:c>
      <x:c r="F3" s="7" t="inlineStr">
        <x:is>
          <x:t xml:space="preserve">Создать GitHub-аккаунт и репозиторий it-journey. Снять базовый аудит ПК: ОС, RAM, диск.</x:t>
        </x:is>
      </x:c>
      <x:c r="G3" s="7" t="inlineStr">
        <x:is>
          <x:t xml:space="preserve">10 слов: file, folder, install, update, settings, disk, memory, system, terminal, user</x:t>
        </x:is>
      </x:c>
      <x:c r="H3" s="7" t="inlineStr">
        <x:is>
          <x:t xml:space="preserve">GitHub repo + базовый аудит ПК</x:t>
        </x:is>
      </x:c>
      <x:c r="I3" s="25" t="inlineStr">
        <x:is>
          <x:t xml:space="preserve"/>
        </x:is>
      </x:c>
      <x:c r="J3" s="24" t="n">
        <x:v>3</x:v>
      </x:c>
      <x:c r="K3" s="24">
        <x:f>SUM($J$3:J3)</x:f>
        <x:v>3</x:v>
      </x:c>
      <x:c r="L3" s="28" t="inlineStr">
        <x:is>
          <x:t xml:space="preserve"/>
        </x:is>
      </x:c>
    </x:row>
    <x:row r="4" ht="42" customHeight="1">
      <x:c r="A4" s="36" t="inlineStr">
        <x:is>
          <x:t xml:space="preserve">11.03.2026</x:t>
        </x:is>
      </x:c>
      <x:c r="B4" s="24" t="inlineStr">
        <x:is>
          <x:t xml:space="preserve">Неделя 1</x:t>
        </x:is>
      </x:c>
      <x:c r="C4" s="24" t="n">
        <x:v>2</x:v>
      </x:c>
      <x:c r="D4" s="14" t="inlineStr">
        <x:is>
          <x:t xml:space="preserve">Фундамент</x:t>
        </x:is>
      </x:c>
      <x:c r="E4" s="7" t="inlineStr">
        <x:is>
          <x:t xml:space="preserve">Сеть: IP, DNS, HTTP/HTTPS, порты. Понять, что такое IP-адрес, DNS, порт, HTTP и HTTPS. Записать по 1 примеру на каждый термин.</x:t>
        </x:is>
      </x:c>
      <x:c r="F4" s="7" t="inlineStr">
        <x:is>
          <x:t xml:space="preserve">Команды: ipconfig / ifconfig, ping, nslookup. Сохранить результаты и короткие выводы.</x:t>
        </x:is>
      </x:c>
      <x:c r="G4" s="7" t="inlineStr">
        <x:is>
          <x:t xml:space="preserve">10 слов по сети: network, address, port, domain, packet, browser, request, response, route, firewall</x:t>
        </x:is>
      </x:c>
      <x:c r="H4" s="7" t="inlineStr">
        <x:is>
          <x:t xml:space="preserve">Шпаргалка по сети на 1 страницу</x:t>
        </x:is>
      </x:c>
      <x:c r="I4" s="25" t="inlineStr">
        <x:is>
          <x:t xml:space="preserve"/>
        </x:is>
      </x:c>
      <x:c r="J4" s="24" t="n">
        <x:v>3</x:v>
      </x:c>
      <x:c r="K4" s="24">
        <x:f>SUM($J$3:J4)</x:f>
        <x:v>6</x:v>
      </x:c>
      <x:c r="L4" s="28" t="inlineStr">
        <x:is>
          <x:t xml:space="preserve"/>
        </x:is>
      </x:c>
    </x:row>
    <x:row r="5" ht="42" customHeight="1">
      <x:c r="A5" s="36" t="inlineStr">
        <x:is>
          <x:t xml:space="preserve">12.03.2026</x:t>
        </x:is>
      </x:c>
      <x:c r="B5" s="24" t="inlineStr">
        <x:is>
          <x:t xml:space="preserve">Неделя 1</x:t>
        </x:is>
      </x:c>
      <x:c r="C5" s="24" t="n">
        <x:v>3</x:v>
      </x:c>
      <x:c r="D5" s="14" t="inlineStr">
        <x:is>
          <x:t xml:space="preserve">Фундамент</x:t>
        </x:is>
      </x:c>
      <x:c r="E5" s="7" t="inlineStr">
        <x:is>
          <x:t xml:space="preserve">Виртуализация и VM. Понять, что такое VM, ISO, snapshot, host, guest. Записать зачем нужна лаборатория.</x:t>
        </x:is>
      </x:c>
      <x:c r="F5" s="7" t="inlineStr">
        <x:is>
          <x:t xml:space="preserve">Установить Ubuntu VM, сделать первый snapshot, обновить систему.</x:t>
        </x:is>
      </x:c>
      <x:c r="G5" s="7" t="inlineStr">
        <x:is>
          <x:t xml:space="preserve">10 слов: virtual machine, host, guest, snapshot, boot, image, update, package, server, shell</x:t>
        </x:is>
      </x:c>
      <x:c r="H5" s="7" t="inlineStr">
        <x:is>
          <x:t xml:space="preserve">Рабочая Ubuntu VM + screenshot</x:t>
        </x:is>
      </x:c>
      <x:c r="I5" s="25" t="inlineStr">
        <x:is>
          <x:t xml:space="preserve"/>
        </x:is>
      </x:c>
      <x:c r="J5" s="24" t="n">
        <x:v>3</x:v>
      </x:c>
      <x:c r="K5" s="24">
        <x:f>SUM($J$3:J5)</x:f>
        <x:v>9</x:v>
      </x:c>
      <x:c r="L5" s="28" t="inlineStr">
        <x:is>
          <x:t xml:space="preserve"/>
        </x:is>
      </x:c>
    </x:row>
    <x:row r="6" ht="42" customHeight="1">
      <x:c r="A6" s="36" t="inlineStr">
        <x:is>
          <x:t xml:space="preserve">13.03.2026</x:t>
        </x:is>
      </x:c>
      <x:c r="B6" s="24" t="inlineStr">
        <x:is>
          <x:t xml:space="preserve">Неделя 1</x:t>
        </x:is>
      </x:c>
      <x:c r="C6" s="24" t="n">
        <x:v>4</x:v>
      </x:c>
      <x:c r="D6" s="14" t="inlineStr">
        <x:is>
          <x:t xml:space="preserve">Фундамент</x:t>
        </x:is>
      </x:c>
      <x:c r="E6" s="7" t="inlineStr">
        <x:is>
          <x:t xml:space="preserve">Linux terminal: навигация и файлы. Команды: pwd, ls, cd, mkdir, touch, cp, mv, rm, cat. Понять разницу между относительным и абсолютным путем.</x:t>
        </x:is>
      </x:c>
      <x:c r="F6" s="7" t="inlineStr">
        <x:is>
          <x:t xml:space="preserve">Создать дерево папок, несколько файлов, переместить и скопировать их, сделать текстовую заметку в Linux.</x:t>
        </x:is>
      </x:c>
      <x:c r="G6" s="7" t="inlineStr">
        <x:is>
          <x:t xml:space="preserve">10 слов: command, path, directory, copy, move, delete, list, create, open, save</x:t>
        </x:is>
      </x:c>
      <x:c r="H6" s="7" t="inlineStr">
        <x:is>
          <x:t xml:space="preserve">Linux cheat sheet v1</x:t>
        </x:is>
      </x:c>
      <x:c r="I6" s="25" t="inlineStr">
        <x:is>
          <x:t xml:space="preserve"/>
        </x:is>
      </x:c>
      <x:c r="J6" s="24" t="n">
        <x:v>3</x:v>
      </x:c>
      <x:c r="K6" s="24">
        <x:f>SUM($J$3:J6)</x:f>
        <x:v>12</x:v>
      </x:c>
      <x:c r="L6" s="28" t="inlineStr">
        <x:is>
          <x:t xml:space="preserve"/>
        </x:is>
      </x:c>
    </x:row>
    <x:row r="7" ht="42" customHeight="1">
      <x:c r="A7" s="36" t="inlineStr">
        <x:is>
          <x:t xml:space="preserve">14.03.2026</x:t>
        </x:is>
      </x:c>
      <x:c r="B7" s="24" t="inlineStr">
        <x:is>
          <x:t xml:space="preserve">Неделя 1</x:t>
        </x:is>
      </x:c>
      <x:c r="C7" s="24" t="n">
        <x:v>5</x:v>
      </x:c>
      <x:c r="D7" s="14" t="inlineStr">
        <x:is>
          <x:t xml:space="preserve">Фундамент</x:t>
        </x:is>
      </x:c>
      <x:c r="E7" s="7" t="inlineStr">
        <x:is>
          <x:t xml:space="preserve">Пользователи и права в Linux. Что такое user, group, sudo, permission. Понять rwx и зачем нужен least privilege.</x:t>
        </x:is>
      </x:c>
      <x:c r="F7" s="7" t="inlineStr">
        <x:is>
          <x:t xml:space="preserve">Команды: whoami, sudo, chmod, chown. Создать нового пользователя и выдать права на папку.</x:t>
        </x:is>
      </x:c>
      <x:c r="G7" s="7" t="inlineStr">
        <x:is>
          <x:t xml:space="preserve">10 слов: permission, owner, group, access, login, password, sudo, execute, read, write</x:t>
        </x:is>
      </x:c>
      <x:c r="H7" s="7" t="inlineStr">
        <x:is>
          <x:t xml:space="preserve">Заметки по правам + screenshot</x:t>
        </x:is>
      </x:c>
      <x:c r="I7" s="25" t="inlineStr">
        <x:is>
          <x:t xml:space="preserve"/>
        </x:is>
      </x:c>
      <x:c r="J7" s="24" t="n">
        <x:v>3</x:v>
      </x:c>
      <x:c r="K7" s="24">
        <x:f>SUM($J$3:J7)</x:f>
        <x:v>15</x:v>
      </x:c>
      <x:c r="L7" s="28" t="inlineStr">
        <x:is>
          <x:t xml:space="preserve"/>
        </x:is>
      </x:c>
    </x:row>
    <x:row r="8" ht="42" customHeight="1">
      <x:c r="A8" s="36" t="inlineStr">
        <x:is>
          <x:t xml:space="preserve">15.03.2026</x:t>
        </x:is>
      </x:c>
      <x:c r="B8" s="24" t="inlineStr">
        <x:is>
          <x:t xml:space="preserve">Неделя 1</x:t>
        </x:is>
      </x:c>
      <x:c r="C8" s="24" t="n">
        <x:v>6</x:v>
      </x:c>
      <x:c r="D8" s="14" t="inlineStr">
        <x:is>
          <x:t xml:space="preserve">Фундамент</x:t>
        </x:is>
      </x:c>
      <x:c r="E8" s="7" t="inlineStr">
        <x:is>
          <x:t xml:space="preserve">Windows диагностика. Изучить Task Manager, Services, Startup Apps, Event Viewer. Понять, где искать симптомы проблем.</x:t>
        </x:is>
      </x:c>
      <x:c r="F8" s="7" t="inlineStr">
        <x:is>
          <x:t xml:space="preserve">Проверить автозагрузку, память, диск и свежие системные события на своем ПК. Безопасно отключить 1 лишний startup app.</x:t>
        </x:is>
      </x:c>
      <x:c r="G8" s="7" t="inlineStr">
        <x:is>
          <x:t xml:space="preserve">10 слов: process, service, startup, log, event, issue, crash, restart, resource, device</x:t>
        </x:is>
      </x:c>
      <x:c r="H8" s="7" t="inlineStr">
        <x:is>
          <x:t xml:space="preserve">Windows checklist диагностики</x:t>
        </x:is>
      </x:c>
      <x:c r="I8" s="25" t="inlineStr">
        <x:is>
          <x:t xml:space="preserve"/>
        </x:is>
      </x:c>
      <x:c r="J8" s="24" t="n">
        <x:v>3</x:v>
      </x:c>
      <x:c r="K8" s="24">
        <x:f>SUM($J$3:J8)</x:f>
        <x:v>18</x:v>
      </x:c>
      <x:c r="L8" s="28" t="inlineStr">
        <x:is>
          <x:t xml:space="preserve"/>
        </x:is>
      </x:c>
    </x:row>
    <x:row r="9" ht="42" customHeight="1">
      <x:c r="A9" s="36" t="inlineStr">
        <x:is>
          <x:t xml:space="preserve">16.03.2026</x:t>
        </x:is>
      </x:c>
      <x:c r="B9" s="24" t="inlineStr">
        <x:is>
          <x:t xml:space="preserve">Неделя 1</x:t>
        </x:is>
      </x:c>
      <x:c r="C9" s="24" t="n">
        <x:v>7</x:v>
      </x:c>
      <x:c r="D9" s="14" t="inlineStr">
        <x:is>
          <x:t xml:space="preserve">Фундамент</x:t>
        </x:is>
      </x:c>
      <x:c r="E9" s="7" t="inlineStr">
        <x:is>
          <x:t xml:space="preserve">Повторение недели 1. Повторить все команды и термины недели. Отметить 3 темы, которые еще плавают.</x:t>
        </x:is>
      </x:c>
      <x:c r="F9" s="7" t="inlineStr">
        <x:is>
          <x:t xml:space="preserve">Залить все заметки и скриншоты в GitHub. Написать короткое summary: понял / не понял / повторить.</x:t>
        </x:is>
      </x:c>
      <x:c r="G9" s="7" t="inlineStr">
        <x:is>
          <x:t xml:space="preserve">Повтор 60–70 слов недели. Прочитать 1 короткий англ. абзац и перевести.</x:t>
        </x:is>
      </x:c>
      <x:c r="H9" s="7" t="inlineStr">
        <x:is>
          <x:t xml:space="preserve">Week 1 summary + 50 терминов</x:t>
        </x:is>
      </x:c>
      <x:c r="I9" s="25" t="inlineStr">
        <x:is>
          <x:t xml:space="preserve"/>
        </x:is>
      </x:c>
      <x:c r="J9" s="24" t="n">
        <x:v>3</x:v>
      </x:c>
      <x:c r="K9" s="24">
        <x:f>SUM($J$3:J9)</x:f>
        <x:v>21</x:v>
      </x:c>
      <x:c r="L9" s="28" t="inlineStr">
        <x:is>
          <x:t xml:space="preserve"/>
        </x:is>
      </x:c>
    </x:row>
    <x:row r="10" ht="42" customHeight="1">
      <x:c r="A10" s="36" t="inlineStr">
        <x:is>
          <x:t xml:space="preserve">17.03.2026</x:t>
        </x:is>
      </x:c>
      <x:c r="B10" s="24" t="inlineStr">
        <x:is>
          <x:t xml:space="preserve">Неделя 2</x:t>
        </x:is>
      </x:c>
      <x:c r="C10" s="24" t="n">
        <x:v>8</x:v>
      </x:c>
      <x:c r="D10" s="14" t="inlineStr">
        <x:is>
          <x:t xml:space="preserve">Фундамент</x:t>
        </x:is>
      </x:c>
      <x:c r="E10" s="7" t="inlineStr">
        <x:is>
          <x:t xml:space="preserve">Linux users/groups/permissions deep dive. Понять users, groups, home directory, ownership, chmod/chown. Записать 3 типовых кейса прав.</x:t>
        </x:is>
      </x:c>
      <x:c r="F10" s="7" t="inlineStr">
        <x:is>
          <x:t xml:space="preserve">Создать 2 пользователей, 1 группу и папку с разными правами. Проверить доступ под разными юзерами.</x:t>
        </x:is>
      </x:c>
      <x:c r="G10" s="7" t="inlineStr">
        <x:is>
          <x:t xml:space="preserve">10 слов: account, owner, group, modify, permission denied, root, home, execute, policy, access</x:t>
        </x:is>
      </x:c>
      <x:c r="H10" s="7" t="inlineStr">
        <x:is>
          <x:t xml:space="preserve">Практика с правами + заметки</x:t>
        </x:is>
      </x:c>
      <x:c r="I10" s="25" t="inlineStr">
        <x:is>
          <x:t xml:space="preserve"/>
        </x:is>
      </x:c>
      <x:c r="J10" s="24" t="n">
        <x:v>3</x:v>
      </x:c>
      <x:c r="K10" s="24">
        <x:f>SUM($J$3:J10)</x:f>
        <x:v>24</x:v>
      </x:c>
      <x:c r="L10" s="28" t="inlineStr">
        <x:is>
          <x:t xml:space="preserve"/>
        </x:is>
      </x:c>
    </x:row>
    <x:row r="11" ht="42" customHeight="1">
      <x:c r="A11" s="36" t="inlineStr">
        <x:is>
          <x:t xml:space="preserve">18.03.2026</x:t>
        </x:is>
      </x:c>
      <x:c r="B11" s="24" t="inlineStr">
        <x:is>
          <x:t xml:space="preserve">Неделя 2</x:t>
        </x:is>
      </x:c>
      <x:c r="C11" s="24" t="n">
        <x:v>9</x:v>
      </x:c>
      <x:c r="D11" s="14" t="inlineStr">
        <x:is>
          <x:t xml:space="preserve">Фундамент</x:t>
        </x:is>
      </x:c>
      <x:c r="E11" s="7" t="inlineStr">
        <x:is>
          <x:t xml:space="preserve">Процессы, службы и пакеты. Команды: ps, top/htop, systemctl, apt. Понять разницу между process и service.</x:t>
        </x:is>
      </x:c>
      <x:c r="F11" s="7" t="inlineStr">
        <x:is>
          <x:t xml:space="preserve">Посмотреть активные процессы, установить htop/curl/git, перезапустить службу, зафиксировать команды.</x:t>
        </x:is>
      </x:c>
      <x:c r="G11" s="7" t="inlineStr">
        <x:is>
          <x:t xml:space="preserve">10 слов: process, service, daemon, package, install, remove, start, stop, restart, monitor</x:t>
        </x:is>
      </x:c>
      <x:c r="H11" s="7" t="inlineStr">
        <x:is>
          <x:t xml:space="preserve">Шпаргалка по процессам и пакетам</x:t>
        </x:is>
      </x:c>
      <x:c r="I11" s="25" t="inlineStr">
        <x:is>
          <x:t xml:space="preserve"/>
        </x:is>
      </x:c>
      <x:c r="J11" s="24" t="n">
        <x:v>3</x:v>
      </x:c>
      <x:c r="K11" s="24">
        <x:f>SUM($J$3:J11)</x:f>
        <x:v>27</x:v>
      </x:c>
      <x:c r="L11" s="28" t="inlineStr">
        <x:is>
          <x:t xml:space="preserve"/>
        </x:is>
      </x:c>
    </x:row>
    <x:row r="12" ht="42" customHeight="1">
      <x:c r="A12" s="36" t="inlineStr">
        <x:is>
          <x:t xml:space="preserve">19.03.2026</x:t>
        </x:is>
      </x:c>
      <x:c r="B12" s="24" t="inlineStr">
        <x:is>
          <x:t xml:space="preserve">Неделя 2</x:t>
        </x:is>
      </x:c>
      <x:c r="C12" s="24" t="n">
        <x:v>10</x:v>
      </x:c>
      <x:c r="D12" s="14" t="inlineStr">
        <x:is>
          <x:t xml:space="preserve">Фундамент</x:t>
        </x:is>
      </x:c>
      <x:c r="E12" s="7" t="inlineStr">
        <x:is>
          <x:t xml:space="preserve">Git и GitHub basics. Понять repo, commit, branch, push, pull, README. Записать workflow на 5 шагов.</x:t>
        </x:is>
      </x:c>
      <x:c r="F12" s="7" t="inlineStr">
        <x:is>
          <x:t xml:space="preserve">Инициализировать локальный repo, сделать commit, push, поправить README и снова запушить.</x:t>
        </x:is>
      </x:c>
      <x:c r="G12" s="7" t="inlineStr">
        <x:is>
          <x:t xml:space="preserve">10 слов: repository, commit, branch, push, pull, merge, history, version, clone, readme</x:t>
        </x:is>
      </x:c>
      <x:c r="H12" s="7" t="inlineStr">
        <x:is>
          <x:t xml:space="preserve">Git/GitHub workflow v1</x:t>
        </x:is>
      </x:c>
      <x:c r="I12" s="25" t="inlineStr">
        <x:is>
          <x:t xml:space="preserve"/>
        </x:is>
      </x:c>
      <x:c r="J12" s="24" t="n">
        <x:v>3</x:v>
      </x:c>
      <x:c r="K12" s="24">
        <x:f>SUM($J$3:J12)</x:f>
        <x:v>30</x:v>
      </x:c>
      <x:c r="L12" s="28" t="inlineStr">
        <x:is>
          <x:t xml:space="preserve"/>
        </x:is>
      </x:c>
    </x:row>
    <x:row r="13" ht="42" customHeight="1">
      <x:c r="A13" s="36" t="inlineStr">
        <x:is>
          <x:t xml:space="preserve">20.03.2026</x:t>
        </x:is>
      </x:c>
      <x:c r="B13" s="24" t="inlineStr">
        <x:is>
          <x:t xml:space="preserve">Неделя 2</x:t>
        </x:is>
      </x:c>
      <x:c r="C13" s="24" t="n">
        <x:v>11</x:v>
      </x:c>
      <x:c r="D13" s="14" t="inlineStr">
        <x:is>
          <x:t xml:space="preserve">Фундамент</x:t>
        </x:is>
      </x:c>
      <x:c r="E13" s="7" t="inlineStr">
        <x:is>
          <x:t xml:space="preserve">Web база: DNS, HTTP, HTTPS, TLS, cookies. Понять, как браузер получает сайт: DNS -&gt; TCP/TLS -&gt; HTTP. Записать цепочку.</x:t>
        </x:is>
      </x:c>
      <x:c r="F13" s="7" t="inlineStr">
        <x:is>
          <x:t xml:space="preserve">Проверить сайт через browser devtools или curl -I. Сравнить HTTP и HTTPS на простом примере.</x:t>
        </x:is>
      </x:c>
      <x:c r="G13" s="7" t="inlineStr">
        <x:is>
          <x:t xml:space="preserve">10 слов: secure, certificate, cookie, session, header, browser, server, client, protocol, encryption</x:t>
        </x:is>
      </x:c>
      <x:c r="H13" s="7" t="inlineStr">
        <x:is>
          <x:t xml:space="preserve">Схема 'как открывается сайт'</x:t>
        </x:is>
      </x:c>
      <x:c r="I13" s="25" t="inlineStr">
        <x:is>
          <x:t xml:space="preserve"/>
        </x:is>
      </x:c>
      <x:c r="J13" s="24" t="n">
        <x:v>3</x:v>
      </x:c>
      <x:c r="K13" s="24">
        <x:f>SUM($J$3:J13)</x:f>
        <x:v>33</x:v>
      </x:c>
      <x:c r="L13" s="28" t="inlineStr">
        <x:is>
          <x:t xml:space="preserve"/>
        </x:is>
      </x:c>
    </x:row>
    <x:row r="14" ht="42" customHeight="1">
      <x:c r="A14" s="36" t="inlineStr">
        <x:is>
          <x:t xml:space="preserve">21.03.2026</x:t>
        </x:is>
      </x:c>
      <x:c r="B14" s="24" t="inlineStr">
        <x:is>
          <x:t xml:space="preserve">Неделя 2</x:t>
        </x:is>
      </x:c>
      <x:c r="C14" s="24" t="n">
        <x:v>12</x:v>
      </x:c>
      <x:c r="D14" s="14" t="inlineStr">
        <x:is>
          <x:t xml:space="preserve">Фундамент</x:t>
        </x:is>
      </x:c>
      <x:c r="E14" s="7" t="inlineStr">
        <x:is>
          <x:t xml:space="preserve">Windows Update, Defender, Firewall. Понять роль обновлений, встроенного антивируса и фаервола. Записать, от чего они защищают.</x:t>
        </x:is>
      </x:c>
      <x:c r="F14" s="7" t="inlineStr">
        <x:is>
          <x:t xml:space="preserve">Проверить статус Update, Defender и Firewall на своем ПК. Сделать mini report.</x:t>
        </x:is>
      </x:c>
      <x:c r="G14" s="7" t="inlineStr">
        <x:is>
          <x:t xml:space="preserve">10 слов: update, patch, protection, scan, threat, antivirus, firewall, rule, block, allow</x:t>
        </x:is>
      </x:c>
      <x:c r="H14" s="7" t="inlineStr">
        <x:is>
          <x:t xml:space="preserve">Mini report по защите Windows</x:t>
        </x:is>
      </x:c>
      <x:c r="I14" s="25" t="inlineStr">
        <x:is>
          <x:t xml:space="preserve"/>
        </x:is>
      </x:c>
      <x:c r="J14" s="24" t="n">
        <x:v>3</x:v>
      </x:c>
      <x:c r="K14" s="24">
        <x:f>SUM($J$3:J14)</x:f>
        <x:v>36</x:v>
      </x:c>
      <x:c r="L14" s="28" t="inlineStr">
        <x:is>
          <x:t xml:space="preserve"/>
        </x:is>
      </x:c>
    </x:row>
    <x:row r="15" ht="42" customHeight="1">
      <x:c r="A15" s="36" t="inlineStr">
        <x:is>
          <x:t xml:space="preserve">22.03.2026</x:t>
        </x:is>
      </x:c>
      <x:c r="B15" s="24" t="inlineStr">
        <x:is>
          <x:t xml:space="preserve">Неделя 2</x:t>
        </x:is>
      </x:c>
      <x:c r="C15" s="24" t="n">
        <x:v>13</x:v>
      </x:c>
      <x:c r="D15" s="14" t="inlineStr">
        <x:is>
          <x:t xml:space="preserve">Фундамент</x:t>
        </x:is>
      </x:c>
      <x:c r="E15" s="7" t="inlineStr">
        <x:is>
          <x:t xml:space="preserve">CPU / RAM / disk monitoring. Понять, как читать загрузку CPU, RAM и диска. Записать типовые симптомы нехватки каждого ресурса.</x:t>
        </x:is>
      </x:c>
      <x:c r="F15" s="7" t="inlineStr">
        <x:is>
          <x:t xml:space="preserve">Сделать замеры в Windows и Linux: systeminfo, Task Manager, df -h, free -h/top.</x:t>
        </x:is>
      </x:c>
      <x:c r="G15" s="7" t="inlineStr">
        <x:is>
          <x:t xml:space="preserve">10 слов: performance, resource, memory, storage, usage, free space, bottleneck, monitor, disk, cpu</x:t>
        </x:is>
      </x:c>
      <x:c r="H15" s="7" t="inlineStr">
        <x:is>
          <x:t xml:space="preserve">Шпаргалка по мониторингу ресурсов</x:t>
        </x:is>
      </x:c>
      <x:c r="I15" s="25" t="inlineStr">
        <x:is>
          <x:t xml:space="preserve"/>
        </x:is>
      </x:c>
      <x:c r="J15" s="24" t="n">
        <x:v>3</x:v>
      </x:c>
      <x:c r="K15" s="24">
        <x:f>SUM($J$3:J15)</x:f>
        <x:v>39</x:v>
      </x:c>
      <x:c r="L15" s="28" t="inlineStr">
        <x:is>
          <x:t xml:space="preserve"/>
        </x:is>
      </x:c>
    </x:row>
    <x:row r="16" ht="42" customHeight="1">
      <x:c r="A16" s="36" t="inlineStr">
        <x:is>
          <x:t xml:space="preserve">23.03.2026</x:t>
        </x:is>
      </x:c>
      <x:c r="B16" s="24" t="inlineStr">
        <x:is>
          <x:t xml:space="preserve">Неделя 2</x:t>
        </x:is>
      </x:c>
      <x:c r="C16" s="24" t="n">
        <x:v>14</x:v>
      </x:c>
      <x:c r="D16" s="14" t="inlineStr">
        <x:is>
          <x:t xml:space="preserve">Фундамент</x:t>
        </x:is>
      </x:c>
      <x:c r="E16" s="7" t="inlineStr">
        <x:is>
          <x:t xml:space="preserve">Capstone недели 2. Собрать домашнюю lab-среду в одну картину: что уже умеешь, что еще слабое.</x:t>
        </x:is>
      </x:c>
      <x:c r="F16" s="7" t="inlineStr">
        <x:is>
          <x:t xml:space="preserve">Оформить документ 'Моя домашняя lab-среда v1' и добить словарь до 100 терминов.</x:t>
        </x:is>
      </x:c>
      <x:c r="G16" s="7" t="inlineStr">
        <x:is>
          <x:t xml:space="preserve">Повтор словаря. Прочитать 1 короткую инструкцию и выделить знакомые слова.</x:t>
        </x:is>
      </x:c>
      <x:c r="H16" s="7" t="inlineStr">
        <x:is>
          <x:t xml:space="preserve">Lab v1 + 100 терминов</x:t>
        </x:is>
      </x:c>
      <x:c r="I16" s="25" t="inlineStr">
        <x:is>
          <x:t xml:space="preserve"/>
        </x:is>
      </x:c>
      <x:c r="J16" s="24" t="n">
        <x:v>3</x:v>
      </x:c>
      <x:c r="K16" s="24">
        <x:f>SUM($J$3:J16)</x:f>
        <x:v>42</x:v>
      </x:c>
      <x:c r="L16" s="28" t="inlineStr">
        <x:is>
          <x:t xml:space="preserve"/>
        </x:is>
      </x:c>
    </x:row>
    <x:row r="17" ht="42" customHeight="1">
      <x:c r="A17" s="36" t="inlineStr">
        <x:is>
          <x:t xml:space="preserve">24.03.2026</x:t>
        </x:is>
      </x:c>
      <x:c r="B17" s="24" t="inlineStr">
        <x:is>
          <x:t xml:space="preserve">Неделя 3</x:t>
        </x:is>
      </x:c>
      <x:c r="C17" s="24" t="n">
        <x:v>15</x:v>
      </x:c>
      <x:c r="D17" s="15" t="inlineStr">
        <x:is>
          <x:t xml:space="preserve">Support</x:t>
        </x:is>
      </x:c>
      <x:c r="E17" s="7" t="inlineStr">
        <x:is>
          <x:t xml:space="preserve">Troubleshooting framework. Выучить схему: symptom -&gt; hypothesis -&gt; test -&gt; fix -&gt; document. Записать 3 примера.</x:t>
        </x:is>
      </x:c>
      <x:c r="F17" s="7" t="inlineStr">
        <x:is>
          <x:t xml:space="preserve">Разобрать 3 кейса на бумаге: нет интернета, программа не запускается, ПК тормозит.</x:t>
        </x:is>
      </x:c>
      <x:c r="G17" s="7" t="inlineStr">
        <x:is>
          <x:t xml:space="preserve">10 слов: symptom, hypothesis, test, reproduce, diagnose, fix, document, escalate, verify, resolve</x:t>
        </x:is>
      </x:c>
      <x:c r="H17" s="7" t="inlineStr">
        <x:is>
          <x:t xml:space="preserve">3 разобранных кейса</x:t>
        </x:is>
      </x:c>
      <x:c r="I17" s="25" t="inlineStr">
        <x:is>
          <x:t xml:space="preserve"/>
        </x:is>
      </x:c>
      <x:c r="J17" s="24" t="n">
        <x:v>3</x:v>
      </x:c>
      <x:c r="K17" s="24">
        <x:f>SUM($J$3:J17)</x:f>
        <x:v>45</x:v>
      </x:c>
      <x:c r="L17" s="28" t="inlineStr">
        <x:is>
          <x:t xml:space="preserve"/>
        </x:is>
      </x:c>
    </x:row>
    <x:row r="18" ht="42" customHeight="1">
      <x:c r="A18" s="36" t="inlineStr">
        <x:is>
          <x:t xml:space="preserve">25.03.2026</x:t>
        </x:is>
      </x:c>
      <x:c r="B18" s="24" t="inlineStr">
        <x:is>
          <x:t xml:space="preserve">Неделя 3</x:t>
        </x:is>
      </x:c>
      <x:c r="C18" s="24" t="n">
        <x:v>16</x:v>
      </x:c>
      <x:c r="D18" s="15" t="inlineStr">
        <x:is>
          <x:t xml:space="preserve">Support</x:t>
        </x:is>
      </x:c>
      <x:c r="E18" s="7" t="inlineStr">
        <x:is>
          <x:t xml:space="preserve">Windows users, passwords, UAC. Понять local user, group, password reset, admin rights, UAC. Записать риски лишних прав.</x:t>
        </x:is>
      </x:c>
      <x:c r="F18" s="7" t="inlineStr">
        <x:is>
          <x:t xml:space="preserve">Создать локального пользователя, изменить пароль тестовому юзеру, посмотреть настройки UAC.</x:t>
        </x:is>
      </x:c>
      <x:c r="G18" s="7" t="inlineStr">
        <x:is>
          <x:t xml:space="preserve">10 слов: administrator, privilege, account, reset, policy, local user, admin rights, prompt, secure, access</x:t>
        </x:is>
      </x:c>
      <x:c r="H18" s="7" t="inlineStr">
        <x:is>
          <x:t xml:space="preserve">Шпаргалка по учеткам Windows</x:t>
        </x:is>
      </x:c>
      <x:c r="I18" s="25" t="inlineStr">
        <x:is>
          <x:t xml:space="preserve"/>
        </x:is>
      </x:c>
      <x:c r="J18" s="24" t="n">
        <x:v>3</x:v>
      </x:c>
      <x:c r="K18" s="24">
        <x:f>SUM($J$3:J18)</x:f>
        <x:v>48</x:v>
      </x:c>
      <x:c r="L18" s="28" t="inlineStr">
        <x:is>
          <x:t xml:space="preserve"/>
        </x:is>
      </x:c>
    </x:row>
    <x:row r="19" ht="42" customHeight="1">
      <x:c r="A19" s="36" t="inlineStr">
        <x:is>
          <x:t xml:space="preserve">26.03.2026</x:t>
        </x:is>
      </x:c>
      <x:c r="B19" s="24" t="inlineStr">
        <x:is>
          <x:t xml:space="preserve">Неделя 3</x:t>
        </x:is>
      </x:c>
      <x:c r="C19" s="24" t="n">
        <x:v>17</x:v>
      </x:c>
      <x:c r="D19" s="15" t="inlineStr">
        <x:is>
          <x:t xml:space="preserve">Support</x:t>
        </x:is>
      </x:c>
      <x:c r="E19" s="7" t="inlineStr">
        <x:is>
          <x:t xml:space="preserve">Apps, services, startup. Понять установку/удаление ПО, сервисы и автозагрузку. Записать типовые причины 'не запускается'.</x:t>
        </x:is>
      </x:c>
      <x:c r="F19" s="7" t="inlineStr">
        <x:is>
          <x:t xml:space="preserve">Установить и удалить безопасную программу, проверить журнал, посмотреть зависимые сервисы.</x:t>
        </x:is>
      </x:c>
      <x:c r="G19" s="7" t="inlineStr">
        <x:is>
          <x:t xml:space="preserve">10 слов: application, dependency, uninstall, launch, startup, compatibility, service, issue, version, vendor</x:t>
        </x:is>
      </x:c>
      <x:c r="H19" s="7" t="inlineStr">
        <x:is>
          <x:t xml:space="preserve">Карточка 'ПО не запускается'</x:t>
        </x:is>
      </x:c>
      <x:c r="I19" s="25" t="inlineStr">
        <x:is>
          <x:t xml:space="preserve"/>
        </x:is>
      </x:c>
      <x:c r="J19" s="24" t="n">
        <x:v>3</x:v>
      </x:c>
      <x:c r="K19" s="24">
        <x:f>SUM($J$3:J19)</x:f>
        <x:v>51</x:v>
      </x:c>
      <x:c r="L19" s="28" t="inlineStr">
        <x:is>
          <x:t xml:space="preserve"/>
        </x:is>
      </x:c>
    </x:row>
    <x:row r="20" ht="42" customHeight="1">
      <x:c r="A20" s="36" t="inlineStr">
        <x:is>
          <x:t xml:space="preserve">27.03.2026</x:t>
        </x:is>
      </x:c>
      <x:c r="B20" s="24" t="inlineStr">
        <x:is>
          <x:t xml:space="preserve">Неделя 3</x:t>
        </x:is>
      </x:c>
      <x:c r="C20" s="24" t="n">
        <x:v>18</x:v>
      </x:c>
      <x:c r="D20" s="15" t="inlineStr">
        <x:is>
          <x:t xml:space="preserve">Support</x:t>
        </x:is>
      </x:c>
      <x:c r="E20" s="7" t="inlineStr">
        <x:is>
          <x:t xml:space="preserve">CPU/RAM/disk troubleshooting. Разобрать, как отличать нехватку RAM, перегруз CPU и проблему диска.</x:t>
        </x:is>
      </x:c>
      <x:c r="F20" s="7" t="inlineStr">
        <x:is>
          <x:t xml:space="preserve">Сделать 2 тестовых сценария: открыть тяжелые вкладки, посмотреть рост памяти; запустить копирование файла и увидеть диск.</x:t>
        </x:is>
      </x:c>
      <x:c r="G20" s="7" t="inlineStr">
        <x:is>
          <x:t xml:space="preserve">10 слов: slowdown, freeze, overload, latency, utilization, bottleneck, spike, process, memory leak, disk queue</x:t>
        </x:is>
      </x:c>
      <x:c r="H20" s="7" t="inlineStr">
        <x:is>
          <x:t xml:space="preserve">Карточка 'ПК тормозит'</x:t>
        </x:is>
      </x:c>
      <x:c r="I20" s="25" t="inlineStr">
        <x:is>
          <x:t xml:space="preserve"/>
        </x:is>
      </x:c>
      <x:c r="J20" s="24" t="n">
        <x:v>3</x:v>
      </x:c>
      <x:c r="K20" s="24">
        <x:f>SUM($J$3:J20)</x:f>
        <x:v>54</x:v>
      </x:c>
      <x:c r="L20" s="28" t="inlineStr">
        <x:is>
          <x:t xml:space="preserve"/>
        </x:is>
      </x:c>
    </x:row>
    <x:row r="21" ht="42" customHeight="1">
      <x:c r="A21" s="36" t="inlineStr">
        <x:is>
          <x:t xml:space="preserve">28.03.2026</x:t>
        </x:is>
      </x:c>
      <x:c r="B21" s="24" t="inlineStr">
        <x:is>
          <x:t xml:space="preserve">Неделя 3</x:t>
        </x:is>
      </x:c>
      <x:c r="C21" s="24" t="n">
        <x:v>19</x:v>
      </x:c>
      <x:c r="D21" s="15" t="inlineStr">
        <x:is>
          <x:t xml:space="preserve">Support</x:t>
        </x:is>
      </x:c>
      <x:c r="E21" s="7" t="inlineStr">
        <x:is>
          <x:t xml:space="preserve">Network support cases. Разобрать типовые сценарии: нет интернета, DNS не отвечает, сайт не открывается, Wi-Fi нестабилен.</x:t>
        </x:is>
      </x:c>
      <x:c r="F21" s="7" t="inlineStr">
        <x:is>
          <x:t xml:space="preserve">Команды: ping router / 8.8.8.8 / domain, nslookup, tracert. Составить дерево проверки.</x:t>
        </x:is>
      </x:c>
      <x:c r="G21" s="7" t="inlineStr">
        <x:is>
          <x:t xml:space="preserve">10 слов: connectivity, latency, timeout, route, dns, gateway, adapter, wireless, signal, outage</x:t>
        </x:is>
      </x:c>
      <x:c r="H21" s="7" t="inlineStr">
        <x:is>
          <x:t xml:space="preserve">Карточка 'нет интернета'</x:t>
        </x:is>
      </x:c>
      <x:c r="I21" s="25" t="inlineStr">
        <x:is>
          <x:t xml:space="preserve"/>
        </x:is>
      </x:c>
      <x:c r="J21" s="24" t="n">
        <x:v>3</x:v>
      </x:c>
      <x:c r="K21" s="24">
        <x:f>SUM($J$3:J21)</x:f>
        <x:v>57</x:v>
      </x:c>
      <x:c r="L21" s="28" t="inlineStr">
        <x:is>
          <x:t xml:space="preserve"/>
        </x:is>
      </x:c>
    </x:row>
    <x:row r="22" ht="42" customHeight="1">
      <x:c r="A22" s="36" t="inlineStr">
        <x:is>
          <x:t xml:space="preserve">29.03.2026</x:t>
        </x:is>
      </x:c>
      <x:c r="B22" s="24" t="inlineStr">
        <x:is>
          <x:t xml:space="preserve">Неделя 3</x:t>
        </x:is>
      </x:c>
      <x:c r="C22" s="24" t="n">
        <x:v>20</x:v>
      </x:c>
      <x:c r="D22" s="15" t="inlineStr">
        <x:is>
          <x:t xml:space="preserve">Support</x:t>
        </x:is>
      </x:c>
      <x:c r="E22" s="7" t="inlineStr">
        <x:is>
          <x:t xml:space="preserve">SSH и базовый remote access. Понять, что такое SSH, RDP и чем отличаются. Записать, когда какой нужен.</x:t>
        </x:is>
      </x:c>
      <x:c r="F22" s="7" t="inlineStr">
        <x:is>
          <x:t xml:space="preserve">Включить SSH на Ubuntu VM и подключиться к ней. Проверить лог входа.</x:t>
        </x:is>
      </x:c>
      <x:c r="G22" s="7" t="inlineStr">
        <x:is>
          <x:t xml:space="preserve">10 слов: remote, terminal, session, connect, host, credential, secure shell, desktop, access, login</x:t>
        </x:is>
      </x:c>
      <x:c r="H22" s="7" t="inlineStr">
        <x:is>
          <x:t xml:space="preserve">SSH-подключение к Ubuntu</x:t>
        </x:is>
      </x:c>
      <x:c r="I22" s="25" t="inlineStr">
        <x:is>
          <x:t xml:space="preserve"/>
        </x:is>
      </x:c>
      <x:c r="J22" s="24" t="n">
        <x:v>3</x:v>
      </x:c>
      <x:c r="K22" s="24">
        <x:f>SUM($J$3:J22)</x:f>
        <x:v>60</x:v>
      </x:c>
      <x:c r="L22" s="28" t="inlineStr">
        <x:is>
          <x:t xml:space="preserve"/>
        </x:is>
      </x:c>
    </x:row>
    <x:row r="23" ht="42" customHeight="1">
      <x:c r="A23" s="36" t="inlineStr">
        <x:is>
          <x:t xml:space="preserve">30.03.2026</x:t>
        </x:is>
      </x:c>
      <x:c r="B23" s="24" t="inlineStr">
        <x:is>
          <x:t xml:space="preserve">Неделя 3</x:t>
        </x:is>
      </x:c>
      <x:c r="C23" s="24" t="n">
        <x:v>21</x:v>
      </x:c>
      <x:c r="D23" s="15" t="inlineStr">
        <x:is>
          <x:t xml:space="preserve">Support</x:t>
        </x:is>
      </x:c>
      <x:c r="E23" s="7" t="inlineStr">
        <x:is>
          <x:t xml:space="preserve">Review недели 3. Повторить troubleshooting-модель и ключевые команды. Отметить слабые темы.</x:t>
        </x:is>
      </x:c>
      <x:c r="F23" s="7" t="inlineStr">
        <x:is>
          <x:t xml:space="preserve">Сделать 5 карточек troubleshooting и смоделировать 1 короткий support-диалог.</x:t>
        </x:is>
      </x:c>
      <x:c r="G23" s="7" t="inlineStr">
        <x:is>
          <x:t xml:space="preserve">Повтор словаря недели. Прочитать 1 ticket-comment на английском.</x:t>
        </x:is>
      </x:c>
      <x:c r="H23" s="7" t="inlineStr">
        <x:is>
          <x:t xml:space="preserve">5 troubleshooting cards</x:t>
        </x:is>
      </x:c>
      <x:c r="I23" s="25" t="inlineStr">
        <x:is>
          <x:t xml:space="preserve"/>
        </x:is>
      </x:c>
      <x:c r="J23" s="24" t="n">
        <x:v>3</x:v>
      </x:c>
      <x:c r="K23" s="24">
        <x:f>SUM($J$3:J23)</x:f>
        <x:v>63</x:v>
      </x:c>
      <x:c r="L23" s="28" t="inlineStr">
        <x:is>
          <x:t xml:space="preserve"/>
        </x:is>
      </x:c>
    </x:row>
    <x:row r="24" ht="42" customHeight="1">
      <x:c r="A24" s="36" t="inlineStr">
        <x:is>
          <x:t xml:space="preserve">31.03.2026</x:t>
        </x:is>
      </x:c>
      <x:c r="B24" s="24" t="inlineStr">
        <x:is>
          <x:t xml:space="preserve">Неделя 4</x:t>
        </x:is>
      </x:c>
      <x:c r="C24" s="24" t="n">
        <x:v>22</x:v>
      </x:c>
      <x:c r="D24" s="15" t="inlineStr">
        <x:is>
          <x:t xml:space="preserve">Support / Sysadmin</x:t>
        </x:is>
      </x:c>
      <x:c r="E24" s="7" t="inlineStr">
        <x:is>
          <x:t xml:space="preserve">Active Directory concepts. Понять user, group, OU, policy, GPO, domain controller на теоретическом уровне.</x:t>
        </x:is>
      </x:c>
      <x:c r="F24" s="7" t="inlineStr">
        <x:is>
          <x:t xml:space="preserve">Сделать конспект: что попросит help desk, а что делает sysadmin в AD.</x:t>
        </x:is>
      </x:c>
      <x:c r="G24" s="7" t="inlineStr">
        <x:is>
          <x:t xml:space="preserve">10 слов: domain, directory, policy, group policy, organizational unit, controller, join, account, permission, manage</x:t>
        </x:is>
      </x:c>
      <x:c r="H24" s="7" t="inlineStr">
        <x:is>
          <x:t xml:space="preserve">AD concepts summary</x:t>
        </x:is>
      </x:c>
      <x:c r="I24" s="25" t="inlineStr">
        <x:is>
          <x:t xml:space="preserve"/>
        </x:is>
      </x:c>
      <x:c r="J24" s="24" t="n">
        <x:v>3</x:v>
      </x:c>
      <x:c r="K24" s="24">
        <x:f>SUM($J$3:J24)</x:f>
        <x:v>66</x:v>
      </x:c>
      <x:c r="L24" s="28" t="inlineStr">
        <x:is>
          <x:t xml:space="preserve"/>
        </x:is>
      </x:c>
    </x:row>
    <x:row r="25" ht="42" customHeight="1">
      <x:c r="A25" s="36" t="inlineStr">
        <x:is>
          <x:t xml:space="preserve">01.04.2026</x:t>
        </x:is>
      </x:c>
      <x:c r="B25" s="24" t="inlineStr">
        <x:is>
          <x:t xml:space="preserve">Неделя 4</x:t>
        </x:is>
      </x:c>
      <x:c r="C25" s="24" t="n">
        <x:v>23</x:v>
      </x:c>
      <x:c r="D25" s="15" t="inlineStr">
        <x:is>
          <x:t xml:space="preserve">Support / Sysadmin</x:t>
        </x:is>
      </x:c>
      <x:c r="E25" s="7" t="inlineStr">
        <x:is>
          <x:t xml:space="preserve">File sharing, permissions, backups. Понять shared folder, NTFS/share permissions, backup, restore, versioning.</x:t>
        </x:is>
      </x:c>
      <x:c r="F25" s="7" t="inlineStr">
        <x:is>
          <x:t xml:space="preserve">Настроить общую папку между host и VM, прописать правила доступа на примере.</x:t>
        </x:is>
      </x:c>
      <x:c r="G25" s="7" t="inlineStr">
        <x:is>
          <x:t xml:space="preserve">10 слов: share, folder, backup, restore, version, permission, inherit, archive, recover, sync</x:t>
        </x:is>
      </x:c>
      <x:c r="H25" s="7" t="inlineStr">
        <x:is>
          <x:t xml:space="preserve">Карточка 'доступ к папке'</x:t>
        </x:is>
      </x:c>
      <x:c r="I25" s="25" t="inlineStr">
        <x:is>
          <x:t xml:space="preserve"/>
        </x:is>
      </x:c>
      <x:c r="J25" s="24" t="n">
        <x:v>3</x:v>
      </x:c>
      <x:c r="K25" s="24">
        <x:f>SUM($J$3:J25)</x:f>
        <x:v>69</x:v>
      </x:c>
      <x:c r="L25" s="28" t="inlineStr">
        <x:is>
          <x:t xml:space="preserve"/>
        </x:is>
      </x:c>
    </x:row>
    <x:row r="26" ht="42" customHeight="1">
      <x:c r="A26" s="36" t="inlineStr">
        <x:is>
          <x:t xml:space="preserve">02.04.2026</x:t>
        </x:is>
      </x:c>
      <x:c r="B26" s="24" t="inlineStr">
        <x:is>
          <x:t xml:space="preserve">Неделя 4</x:t>
        </x:is>
      </x:c>
      <x:c r="C26" s="24" t="n">
        <x:v>24</x:v>
      </x:c>
      <x:c r="D26" s="15" t="inlineStr">
        <x:is>
          <x:t xml:space="preserve">Support / Sysadmin</x:t>
        </x:is>
      </x:c>
      <x:c r="E26" s="7" t="inlineStr">
        <x:is>
          <x:t xml:space="preserve">Printers, drivers, peripherals. Понять driver, spooler, device manager, конфликт устройств. Записать типовые причины поломок.</x:t>
        </x:is>
      </x:c>
      <x:c r="F26" s="7" t="inlineStr">
        <x:is>
          <x:t xml:space="preserve">Пройти по Device Manager, посмотреть драйверы и журнал подключений устройств.</x:t>
        </x:is>
      </x:c>
      <x:c r="G26" s="7" t="inlineStr">
        <x:is>
          <x:t xml:space="preserve">10 слов: driver, printer, queue, spooler, device, usb, install, remove, detect, peripheral</x:t>
        </x:is>
      </x:c>
      <x:c r="H26" s="7" t="inlineStr">
        <x:is>
          <x:t xml:space="preserve">Карточка 'принтер не печатает'</x:t>
        </x:is>
      </x:c>
      <x:c r="I26" s="25" t="inlineStr">
        <x:is>
          <x:t xml:space="preserve"/>
        </x:is>
      </x:c>
      <x:c r="J26" s="24" t="n">
        <x:v>3</x:v>
      </x:c>
      <x:c r="K26" s="24">
        <x:f>SUM($J$3:J26)</x:f>
        <x:v>72</x:v>
      </x:c>
      <x:c r="L26" s="28" t="inlineStr">
        <x:is>
          <x:t xml:space="preserve"/>
        </x:is>
      </x:c>
    </x:row>
    <x:row r="27" ht="42" customHeight="1">
      <x:c r="A27" s="36" t="inlineStr">
        <x:is>
          <x:t xml:space="preserve">03.04.2026</x:t>
        </x:is>
      </x:c>
      <x:c r="B27" s="24" t="inlineStr">
        <x:is>
          <x:t xml:space="preserve">Неделя 4</x:t>
        </x:is>
      </x:c>
      <x:c r="C27" s="24" t="n">
        <x:v>25</x:v>
      </x:c>
      <x:c r="D27" s="15" t="inlineStr">
        <x:is>
          <x:t xml:space="preserve">Support / Sysadmin</x:t>
        </x:is>
      </x:c>
      <x:c r="E27" s="7" t="inlineStr">
        <x:is>
          <x:t xml:space="preserve">Monitoring basics. Понять лог, alert, uptime, metric, dashboard, threshold. Что мониторят NOC/SOC.</x:t>
        </x:is>
      </x:c>
      <x:c r="F27" s="7" t="inlineStr">
        <x:is>
          <x:t xml:space="preserve">Собрать mini list: что бы ты мониторил на ПК / сервере / сети.</x:t>
        </x:is>
      </x:c>
      <x:c r="G27" s="7" t="inlineStr">
        <x:is>
          <x:t xml:space="preserve">10 слов: alert, uptime, threshold, dashboard, metric, monitor, health, warning, critical, availability</x:t>
        </x:is>
      </x:c>
      <x:c r="H27" s="7" t="inlineStr">
        <x:is>
          <x:t xml:space="preserve">Список метрик для мониторинга</x:t>
        </x:is>
      </x:c>
      <x:c r="I27" s="25" t="inlineStr">
        <x:is>
          <x:t xml:space="preserve"/>
        </x:is>
      </x:c>
      <x:c r="J27" s="24" t="n">
        <x:v>3</x:v>
      </x:c>
      <x:c r="K27" s="24">
        <x:f>SUM($J$3:J27)</x:f>
        <x:v>75</x:v>
      </x:c>
      <x:c r="L27" s="28" t="inlineStr">
        <x:is>
          <x:t xml:space="preserve"/>
        </x:is>
      </x:c>
    </x:row>
    <x:row r="28" ht="42" customHeight="1">
      <x:c r="A28" s="36" t="inlineStr">
        <x:is>
          <x:t xml:space="preserve">04.04.2026</x:t>
        </x:is>
      </x:c>
      <x:c r="B28" s="24" t="inlineStr">
        <x:is>
          <x:t xml:space="preserve">Неделя 4</x:t>
        </x:is>
      </x:c>
      <x:c r="C28" s="24" t="n">
        <x:v>26</x:v>
      </x:c>
      <x:c r="D28" s="15" t="inlineStr">
        <x:is>
          <x:t xml:space="preserve">Support / Sysadmin</x:t>
        </x:is>
      </x:c>
      <x:c r="E28" s="7" t="inlineStr">
        <x:is>
          <x:t xml:space="preserve">Ticket writing &amp; communication. Понять, как задавать уточняющие вопросы и писать понятный комментарий в тикете.</x:t>
        </x:is>
      </x:c>
      <x:c r="F28" s="7" t="inlineStr">
        <x:is>
          <x:t xml:space="preserve">Написать 3 тикета: forgot password, no internet, app crash. Структура: симптом / шаги / результат.</x:t>
        </x:is>
      </x:c>
      <x:c r="G28" s="7" t="inlineStr">
        <x:is>
          <x:t xml:space="preserve">10 слов: ticket, issue, impact, priority, description, workaround, reproduce, resolution, user, comment</x:t>
        </x:is>
      </x:c>
      <x:c r="H28" s="7" t="inlineStr">
        <x:is>
          <x:t xml:space="preserve">3 качественных тикета</x:t>
        </x:is>
      </x:c>
      <x:c r="I28" s="25" t="inlineStr">
        <x:is>
          <x:t xml:space="preserve"/>
        </x:is>
      </x:c>
      <x:c r="J28" s="24" t="n">
        <x:v>3</x:v>
      </x:c>
      <x:c r="K28" s="24">
        <x:f>SUM($J$3:J28)</x:f>
        <x:v>78</x:v>
      </x:c>
      <x:c r="L28" s="28" t="inlineStr">
        <x:is>
          <x:t xml:space="preserve"/>
        </x:is>
      </x:c>
    </x:row>
    <x:row r="29" ht="42" customHeight="1">
      <x:c r="A29" s="36" t="inlineStr">
        <x:is>
          <x:t xml:space="preserve">05.04.2026</x:t>
        </x:is>
      </x:c>
      <x:c r="B29" s="24" t="inlineStr">
        <x:is>
          <x:t xml:space="preserve">Неделя 4</x:t>
        </x:is>
      </x:c>
      <x:c r="C29" s="24" t="n">
        <x:v>27</x:v>
      </x:c>
      <x:c r="D29" s="15" t="inlineStr">
        <x:is>
          <x:t xml:space="preserve">Support / Sysadmin</x:t>
        </x:is>
      </x:c>
      <x:c r="E29" s="7" t="inlineStr">
        <x:is>
          <x:t xml:space="preserve">Case practice. Повторить AD, шары, мониторинг, тикеты. Свести все в support-поток.</x:t>
        </x:is>
      </x:c>
      <x:c r="F29" s="7" t="inlineStr">
        <x:is>
          <x:t xml:space="preserve">Сделать еще 5 troubleshooting cards и провести 2 simulated calls с ИИ/другом.</x:t>
        </x:is>
      </x:c>
      <x:c r="G29" s="7" t="inlineStr">
        <x:is>
          <x:t xml:space="preserve">10 слов по общению: clarify, confirm, reproduce, workaround, update, resolved, pending, urgent, verify, note</x:t>
        </x:is>
      </x:c>
      <x:c r="H29" s="7" t="inlineStr">
        <x:is>
          <x:t xml:space="preserve">10 troubleshooting cards total</x:t>
        </x:is>
      </x:c>
      <x:c r="I29" s="25" t="inlineStr">
        <x:is>
          <x:t xml:space="preserve"/>
        </x:is>
      </x:c>
      <x:c r="J29" s="24" t="n">
        <x:v>3</x:v>
      </x:c>
      <x:c r="K29" s="24">
        <x:f>SUM($J$3:J29)</x:f>
        <x:v>81</x:v>
      </x:c>
      <x:c r="L29" s="28" t="inlineStr">
        <x:is>
          <x:t xml:space="preserve"/>
        </x:is>
      </x:c>
    </x:row>
    <x:row r="30" ht="42" customHeight="1">
      <x:c r="A30" s="36" t="inlineStr">
        <x:is>
          <x:t xml:space="preserve">06.04.2026</x:t>
        </x:is>
      </x:c>
      <x:c r="B30" s="24" t="inlineStr">
        <x:is>
          <x:t xml:space="preserve">Неделя 4</x:t>
        </x:is>
      </x:c>
      <x:c r="C30" s="24" t="n">
        <x:v>28</x:v>
      </x:c>
      <x:c r="D30" s="15" t="inlineStr">
        <x:is>
          <x:t xml:space="preserve">Support / Sysadmin</x:t>
        </x:is>
      </x:c>
      <x:c r="E30" s="7" t="inlineStr">
        <x:is>
          <x:t xml:space="preserve">Capstone недели 4. Собрать из знаний недели мини-карту поддержки: users, shares, drivers, monitoring, tickets.</x:t>
        </x:is>
      </x:c>
      <x:c r="F30" s="7" t="inlineStr">
        <x:is>
          <x:t xml:space="preserve">Провести mock interview #1 и обновить документ о lab-среде с краткой схемой.</x:t>
        </x:is>
      </x:c>
      <x:c r="G30" s="7" t="inlineStr">
        <x:is>
          <x:t xml:space="preserve">Повтор словаря недель 3-4. Перевести 5 типовых support-фраз.</x:t>
        </x:is>
      </x:c>
      <x:c r="H30" s="7" t="inlineStr">
        <x:is>
          <x:t xml:space="preserve">Mock interview #1 + lab scheme</x:t>
        </x:is>
      </x:c>
      <x:c r="I30" s="25" t="inlineStr">
        <x:is>
          <x:t xml:space="preserve"/>
        </x:is>
      </x:c>
      <x:c r="J30" s="24" t="n">
        <x:v>3</x:v>
      </x:c>
      <x:c r="K30" s="24">
        <x:f>SUM($J$3:J30)</x:f>
        <x:v>84</x:v>
      </x:c>
      <x:c r="L30" s="28" t="inlineStr">
        <x:is>
          <x:t xml:space="preserve"/>
        </x:is>
      </x:c>
    </x:row>
    <x:row r="31" ht="42" customHeight="1">
      <x:c r="A31" s="36" t="inlineStr">
        <x:is>
          <x:t xml:space="preserve">07.04.2026</x:t>
        </x:is>
      </x:c>
      <x:c r="B31" s="24" t="inlineStr">
        <x:is>
          <x:t xml:space="preserve">Неделя 5</x:t>
        </x:is>
      </x:c>
      <x:c r="C31" s="24" t="n">
        <x:v>29</x:v>
      </x:c>
      <x:c r="D31" s="16" t="inlineStr">
        <x:is>
          <x:t xml:space="preserve">Python</x:t>
        </x:is>
      </x:c>
      <x:c r="E31" s="7" t="inlineStr">
        <x:is>
          <x:t xml:space="preserve">Python setup and first scripts. Установить Python, понять интерпретатор, .py файл, запуск из терминала.</x:t>
        </x:is>
      </x:c>
      <x:c r="F31" s="7" t="inlineStr">
        <x:is>
          <x:t xml:space="preserve">Создать 2 очень простых скрипта: print('hello') и вывод system info текстом.</x:t>
        </x:is>
      </x:c>
      <x:c r="G31" s="7" t="inlineStr">
        <x:is>
          <x:t xml:space="preserve">10 слов: script, interpreter, variable, output, input, run, error, debug, function, file</x:t>
        </x:is>
      </x:c>
      <x:c r="H31" s="7" t="inlineStr">
        <x:is>
          <x:t xml:space="preserve">Python setup + first run</x:t>
        </x:is>
      </x:c>
      <x:c r="I31" s="25" t="inlineStr">
        <x:is>
          <x:t xml:space="preserve"/>
        </x:is>
      </x:c>
      <x:c r="J31" s="24" t="n">
        <x:v>3</x:v>
      </x:c>
      <x:c r="K31" s="24">
        <x:f>SUM($J$3:J31)</x:f>
        <x:v>87</x:v>
      </x:c>
      <x:c r="L31" s="28" t="inlineStr">
        <x:is>
          <x:t xml:space="preserve"/>
        </x:is>
      </x:c>
    </x:row>
    <x:row r="32" ht="42" customHeight="1">
      <x:c r="A32" s="36" t="inlineStr">
        <x:is>
          <x:t xml:space="preserve">08.04.2026</x:t>
        </x:is>
      </x:c>
      <x:c r="B32" s="24" t="inlineStr">
        <x:is>
          <x:t xml:space="preserve">Неделя 5</x:t>
        </x:is>
      </x:c>
      <x:c r="C32" s="24" t="n">
        <x:v>30</x:v>
      </x:c>
      <x:c r="D32" s="16" t="inlineStr">
        <x:is>
          <x:t xml:space="preserve">Python</x:t>
        </x:is>
      </x:c>
      <x:c r="E32" s="7" t="inlineStr">
        <x:is>
          <x:t xml:space="preserve">Variables, strings, input. Понять типы данных, строки, числа, input/print. Записать 5 мини-примеров.</x:t>
        </x:is>
      </x:c>
      <x:c r="F32" s="7" t="inlineStr">
        <x:is>
          <x:t xml:space="preserve">Сделать мини-скрипт: спросить имя пользователя, вывести приветствие и путь к папке.</x:t>
        </x:is>
      </x:c>
      <x:c r="G32" s="7" t="inlineStr">
        <x:is>
          <x:t xml:space="preserve">10 слов: string, integer, float, boolean, input, output, convert, type, value, format</x:t>
        </x:is>
      </x:c>
      <x:c r="H32" s="7" t="inlineStr">
        <x:is>
          <x:t xml:space="preserve">Мини-скрипт с input/output</x:t>
        </x:is>
      </x:c>
      <x:c r="I32" s="25" t="inlineStr">
        <x:is>
          <x:t xml:space="preserve"/>
        </x:is>
      </x:c>
      <x:c r="J32" s="24" t="n">
        <x:v>3</x:v>
      </x:c>
      <x:c r="K32" s="24">
        <x:f>SUM($J$3:J32)</x:f>
        <x:v>90</x:v>
      </x:c>
      <x:c r="L32" s="28" t="inlineStr">
        <x:is>
          <x:t xml:space="preserve"/>
        </x:is>
      </x:c>
    </x:row>
    <x:row r="33" ht="42" customHeight="1">
      <x:c r="A33" s="36" t="inlineStr">
        <x:is>
          <x:t xml:space="preserve">09.04.2026</x:t>
        </x:is>
      </x:c>
      <x:c r="B33" s="24" t="inlineStr">
        <x:is>
          <x:t xml:space="preserve">Неделя 5</x:t>
        </x:is>
      </x:c>
      <x:c r="C33" s="24" t="n">
        <x:v>31</x:v>
      </x:c>
      <x:c r="D33" s="16" t="inlineStr">
        <x:is>
          <x:t xml:space="preserve">Python</x:t>
        </x:is>
      </x:c>
      <x:c r="E33" s="7" t="inlineStr">
        <x:is>
          <x:t xml:space="preserve">Conditions and loops. Выучить if/elif/else, for, while. Понять когда использовать цикл.</x:t>
        </x:is>
      </x:c>
      <x:c r="F33" s="7" t="inlineStr">
        <x:is>
          <x:t xml:space="preserve">Сделать 2 задачи: проверка свободного места по условию и цикл по списку имен файлов.</x:t>
        </x:is>
      </x:c>
      <x:c r="G33" s="7" t="inlineStr">
        <x:is>
          <x:t xml:space="preserve">10 слов: condition, loop, iterate, compare, true, false, range, branch, repeat, check</x:t>
        </x:is>
      </x:c>
      <x:c r="H33" s="7" t="inlineStr">
        <x:is>
          <x:t xml:space="preserve">Заметки по условиям и циклам</x:t>
        </x:is>
      </x:c>
      <x:c r="I33" s="25" t="inlineStr">
        <x:is>
          <x:t xml:space="preserve"/>
        </x:is>
      </x:c>
      <x:c r="J33" s="24" t="n">
        <x:v>3</x:v>
      </x:c>
      <x:c r="K33" s="24">
        <x:f>SUM($J$3:J33)</x:f>
        <x:v>93</x:v>
      </x:c>
      <x:c r="L33" s="28" t="inlineStr">
        <x:is>
          <x:t xml:space="preserve"/>
        </x:is>
      </x:c>
    </x:row>
    <x:row r="34" ht="42" customHeight="1">
      <x:c r="A34" s="36" t="inlineStr">
        <x:is>
          <x:t xml:space="preserve">10.04.2026</x:t>
        </x:is>
      </x:c>
      <x:c r="B34" s="24" t="inlineStr">
        <x:is>
          <x:t xml:space="preserve">Неделя 5</x:t>
        </x:is>
      </x:c>
      <x:c r="C34" s="24" t="n">
        <x:v>32</x:v>
      </x:c>
      <x:c r="D34" s="16" t="inlineStr">
        <x:is>
          <x:t xml:space="preserve">Python</x:t>
        </x:is>
      </x:c>
      <x:c r="E34" s="7" t="inlineStr">
        <x:is>
          <x:t xml:space="preserve">Lists, dicts, functions. Понять list, dict и функции. Записать, зачем нужен return.</x:t>
        </x:is>
      </x:c>
      <x:c r="F34" s="7" t="inlineStr">
        <x:is>
          <x:t xml:space="preserve">Создать простой список устройств и словарь с IP/ролью. Вынести проверку в функцию.</x:t>
        </x:is>
      </x:c>
      <x:c r="G34" s="7" t="inlineStr">
        <x:is>
          <x:t xml:space="preserve">10 слов: list, dictionary, key, value, function, return, argument, item, append, lookup</x:t>
        </x:is>
      </x:c>
      <x:c r="H34" s="7" t="inlineStr">
        <x:is>
          <x:t xml:space="preserve">Функция + список + словарь</x:t>
        </x:is>
      </x:c>
      <x:c r="I34" s="25" t="inlineStr">
        <x:is>
          <x:t xml:space="preserve"/>
        </x:is>
      </x:c>
      <x:c r="J34" s="24" t="n">
        <x:v>3</x:v>
      </x:c>
      <x:c r="K34" s="24">
        <x:f>SUM($J$3:J34)</x:f>
        <x:v>96</x:v>
      </x:c>
      <x:c r="L34" s="28" t="inlineStr">
        <x:is>
          <x:t xml:space="preserve"/>
        </x:is>
      </x:c>
    </x:row>
    <x:row r="35" ht="42" customHeight="1">
      <x:c r="A35" s="36" t="inlineStr">
        <x:is>
          <x:t xml:space="preserve">11.04.2026</x:t>
        </x:is>
      </x:c>
      <x:c r="B35" s="24" t="inlineStr">
        <x:is>
          <x:t xml:space="preserve">Неделя 5</x:t>
        </x:is>
      </x:c>
      <x:c r="C35" s="24" t="n">
        <x:v>33</x:v>
      </x:c>
      <x:c r="D35" s="16" t="inlineStr">
        <x:is>
          <x:t xml:space="preserve">Python</x:t>
        </x:is>
      </x:c>
      <x:c r="E35" s="7" t="inlineStr">
        <x:is>
          <x:t xml:space="preserve">Files and exceptions. Понять open/read/write и try/except. Записать, зачем нужен обработчик ошибок.</x:t>
        </x:is>
      </x:c>
      <x:c r="F35" s="7" t="inlineStr">
        <x:is>
          <x:t xml:space="preserve">Сделать скрипт, который пишет строку в лог-файл и читает его обратно.</x:t>
        </x:is>
      </x:c>
      <x:c r="G35" s="7" t="inlineStr">
        <x:is>
          <x:t xml:space="preserve">10 слов: file, read, write, exception, try, except, path, open, close, error</x:t>
        </x:is>
      </x:c>
      <x:c r="H35" s="7" t="inlineStr">
        <x:is>
          <x:t xml:space="preserve">Мини-логгер в файл</x:t>
        </x:is>
      </x:c>
      <x:c r="I35" s="25" t="inlineStr">
        <x:is>
          <x:t xml:space="preserve"/>
        </x:is>
      </x:c>
      <x:c r="J35" s="24" t="n">
        <x:v>3</x:v>
      </x:c>
      <x:c r="K35" s="24">
        <x:f>SUM($J$3:J35)</x:f>
        <x:v>99</x:v>
      </x:c>
      <x:c r="L35" s="28" t="inlineStr">
        <x:is>
          <x:t xml:space="preserve"/>
        </x:is>
      </x:c>
    </x:row>
    <x:row r="36" ht="42" customHeight="1">
      <x:c r="A36" s="36" t="inlineStr">
        <x:is>
          <x:t xml:space="preserve">12.04.2026</x:t>
        </x:is>
      </x:c>
      <x:c r="B36" s="24" t="inlineStr">
        <x:is>
          <x:t xml:space="preserve">Неделя 5</x:t>
        </x:is>
      </x:c>
      <x:c r="C36" s="24" t="n">
        <x:v>34</x:v>
      </x:c>
      <x:c r="D36" s="16" t="inlineStr">
        <x:is>
          <x:t xml:space="preserve">Python</x:t>
        </x:is>
      </x:c>
      <x:c r="E36" s="7" t="inlineStr">
        <x:is>
          <x:t xml:space="preserve">Script 1: disk space checker. Продумать логику скрипта: проверить диск, если места мало — вывести предупреждение.</x:t>
        </x:is>
      </x:c>
      <x:c r="F36" s="7" t="inlineStr">
        <x:is>
          <x:t xml:space="preserve">Собрать script 1. Добавить комментарии и README: что делает и как запускать.</x:t>
        </x:is>
      </x:c>
      <x:c r="G36" s="7" t="inlineStr">
        <x:is>
          <x:t xml:space="preserve">10 слов: disk, free space, warning, threshold, check, path, system, command, output, usage</x:t>
        </x:is>
      </x:c>
      <x:c r="H36" s="7" t="inlineStr">
        <x:is>
          <x:t xml:space="preserve">Script 1 ready</x:t>
        </x:is>
      </x:c>
      <x:c r="I36" s="25" t="inlineStr">
        <x:is>
          <x:t xml:space="preserve"/>
        </x:is>
      </x:c>
      <x:c r="J36" s="24" t="n">
        <x:v>3</x:v>
      </x:c>
      <x:c r="K36" s="24">
        <x:f>SUM($J$3:J36)</x:f>
        <x:v>102</x:v>
      </x:c>
      <x:c r="L36" s="28" t="inlineStr">
        <x:is>
          <x:t xml:space="preserve"/>
        </x:is>
      </x:c>
    </x:row>
    <x:row r="37" ht="42" customHeight="1">
      <x:c r="A37" s="36" t="inlineStr">
        <x:is>
          <x:t xml:space="preserve">13.04.2026</x:t>
        </x:is>
      </x:c>
      <x:c r="B37" s="24" t="inlineStr">
        <x:is>
          <x:t xml:space="preserve">Неделя 5</x:t>
        </x:is>
      </x:c>
      <x:c r="C37" s="24" t="n">
        <x:v>35</x:v>
      </x:c>
      <x:c r="D37" s="16" t="inlineStr">
        <x:is>
          <x:t xml:space="preserve">Python</x:t>
        </x:is>
      </x:c>
      <x:c r="E37" s="7" t="inlineStr">
        <x:is>
          <x:t xml:space="preserve">Review недели 5. Повторить синтаксис и объяснить себе каждую строку в script 1.</x:t>
        </x:is>
      </x:c>
      <x:c r="F37" s="7" t="inlineStr">
        <x:is>
          <x:t xml:space="preserve">Почистить код, сделать commit, обновить README и заметки.</x:t>
        </x:is>
      </x:c>
      <x:c r="G37" s="7" t="inlineStr">
        <x:is>
          <x:t xml:space="preserve">Повтор слов недели 5. Прочитать короткий README на GitHub.</x:t>
        </x:is>
      </x:c>
      <x:c r="H37" s="7" t="inlineStr">
        <x:is>
          <x:t xml:space="preserve">GitHub update + code explanation</x:t>
        </x:is>
      </x:c>
      <x:c r="I37" s="25" t="inlineStr">
        <x:is>
          <x:t xml:space="preserve"/>
        </x:is>
      </x:c>
      <x:c r="J37" s="24" t="n">
        <x:v>3</x:v>
      </x:c>
      <x:c r="K37" s="24">
        <x:f>SUM($J$3:J37)</x:f>
        <x:v>105</x:v>
      </x:c>
      <x:c r="L37" s="28" t="inlineStr">
        <x:is>
          <x:t xml:space="preserve"/>
        </x:is>
      </x:c>
    </x:row>
    <x:row r="38" ht="42" customHeight="1">
      <x:c r="A38" s="36" t="inlineStr">
        <x:is>
          <x:t xml:space="preserve">14.04.2026</x:t>
        </x:is>
      </x:c>
      <x:c r="B38" s="24" t="inlineStr">
        <x:is>
          <x:t xml:space="preserve">Неделя 6</x:t>
        </x:is>
      </x:c>
      <x:c r="C38" s="24" t="n">
        <x:v>36</x:v>
      </x:c>
      <x:c r="D38" s="16" t="inlineStr">
        <x:is>
          <x:t xml:space="preserve">Python Automation</x:t>
        </x:is>
      </x:c>
      <x:c r="E38" s="7" t="inlineStr">
        <x:is>
          <x:t xml:space="preserve">Modules, os, pathlib, shutil. Понять модули, импорт, pathlib/os/shutil. Записать что удобнее для путей.</x:t>
        </x:is>
      </x:c>
      <x:c r="F38" s="7" t="inlineStr">
        <x:is>
          <x:t xml:space="preserve">Сделать мини-практику: пройти по папке, вывести список файлов и расширений.</x:t>
        </x:is>
      </x:c>
      <x:c r="G38" s="7" t="inlineStr">
        <x:is>
          <x:t xml:space="preserve">10 слов: module, import, path, folder, file extension, move, copy, rename, library, package</x:t>
        </x:is>
      </x:c>
      <x:c r="H38" s="7" t="inlineStr">
        <x:is>
          <x:t xml:space="preserve">Шпаргалка по pathlib/os</x:t>
        </x:is>
      </x:c>
      <x:c r="I38" s="25" t="inlineStr">
        <x:is>
          <x:t xml:space="preserve"/>
        </x:is>
      </x:c>
      <x:c r="J38" s="24" t="n">
        <x:v>3</x:v>
      </x:c>
      <x:c r="K38" s="24">
        <x:f>SUM($J$3:J38)</x:f>
        <x:v>108</x:v>
      </x:c>
      <x:c r="L38" s="28" t="inlineStr">
        <x:is>
          <x:t xml:space="preserve"/>
        </x:is>
      </x:c>
    </x:row>
    <x:row r="39" ht="42" customHeight="1">
      <x:c r="A39" s="36" t="inlineStr">
        <x:is>
          <x:t xml:space="preserve">15.04.2026</x:t>
        </x:is>
      </x:c>
      <x:c r="B39" s="24" t="inlineStr">
        <x:is>
          <x:t xml:space="preserve">Неделя 6</x:t>
        </x:is>
      </x:c>
      <x:c r="C39" s="24" t="n">
        <x:v>37</x:v>
      </x:c>
      <x:c r="D39" s="16" t="inlineStr">
        <x:is>
          <x:t xml:space="preserve">Python Automation</x:t>
        </x:is>
      </x:c>
      <x:c r="E39" s="7" t="inlineStr">
        <x:is>
          <x:t xml:space="preserve">CSV and JSON. Понять форматы CSV и JSON и где они встречаются в логах / экспортах.</x:t>
        </x:is>
      </x:c>
      <x:c r="F39" s="7" t="inlineStr">
        <x:is>
          <x:t xml:space="preserve">Прочитать маленький CSV и JSON, вывести 2-3 поля и записать результат в новый файл.</x:t>
        </x:is>
      </x:c>
      <x:c r="G39" s="7" t="inlineStr">
        <x:is>
          <x:t xml:space="preserve">10 слов: csv, json, parse, field, record, export, import, structure, key, separator</x:t>
        </x:is>
      </x:c>
      <x:c r="H39" s="7" t="inlineStr">
        <x:is>
          <x:t xml:space="preserve">Мини-парсер CSV/JSON</x:t>
        </x:is>
      </x:c>
      <x:c r="I39" s="25" t="inlineStr">
        <x:is>
          <x:t xml:space="preserve"/>
        </x:is>
      </x:c>
      <x:c r="J39" s="24" t="n">
        <x:v>3</x:v>
      </x:c>
      <x:c r="K39" s="24">
        <x:f>SUM($J$3:J39)</x:f>
        <x:v>111</x:v>
      </x:c>
      <x:c r="L39" s="28" t="inlineStr">
        <x:is>
          <x:t xml:space="preserve"/>
        </x:is>
      </x:c>
    </x:row>
    <x:row r="40" ht="42" customHeight="1">
      <x:c r="A40" s="36" t="inlineStr">
        <x:is>
          <x:t xml:space="preserve">16.04.2026</x:t>
        </x:is>
      </x:c>
      <x:c r="B40" s="24" t="inlineStr">
        <x:is>
          <x:t xml:space="preserve">Неделя 6</x:t>
        </x:is>
      </x:c>
      <x:c r="C40" s="24" t="n">
        <x:v>38</x:v>
      </x:c>
      <x:c r="D40" s="16" t="inlineStr">
        <x:is>
          <x:t xml:space="preserve">Python Automation</x:t>
        </x:is>
      </x:c>
      <x:c r="E40" s="7" t="inlineStr">
        <x:is>
          <x:t xml:space="preserve">Regex and text parsing. Понять, зачем нужны regex и когда лучше без них. Разобрать 3 простых паттерна.</x:t>
        </x:is>
      </x:c>
      <x:c r="F40" s="7" t="inlineStr">
        <x:is>
          <x:t xml:space="preserve">Вытащить IP, дату или error-line из текстового файла через regex.</x:t>
        </x:is>
      </x:c>
      <x:c r="G40" s="7" t="inlineStr">
        <x:is>
          <x:t xml:space="preserve">10 слов: pattern, match, parse, line, token, search, extract, text, log, filter</x:t>
        </x:is>
      </x:c>
      <x:c r="H40" s="7" t="inlineStr">
        <x:is>
          <x:t xml:space="preserve">Заметки по regex + 1 пример</x:t>
        </x:is>
      </x:c>
      <x:c r="I40" s="25" t="inlineStr">
        <x:is>
          <x:t xml:space="preserve"/>
        </x:is>
      </x:c>
      <x:c r="J40" s="24" t="n">
        <x:v>3</x:v>
      </x:c>
      <x:c r="K40" s="24">
        <x:f>SUM($J$3:J40)</x:f>
        <x:v>114</x:v>
      </x:c>
      <x:c r="L40" s="28" t="inlineStr">
        <x:is>
          <x:t xml:space="preserve"/>
        </x:is>
      </x:c>
    </x:row>
    <x:row r="41" ht="42" customHeight="1">
      <x:c r="A41" s="36" t="inlineStr">
        <x:is>
          <x:t xml:space="preserve">17.04.2026</x:t>
        </x:is>
      </x:c>
      <x:c r="B41" s="24" t="inlineStr">
        <x:is>
          <x:t xml:space="preserve">Неделя 6</x:t>
        </x:is>
      </x:c>
      <x:c r="C41" s="24" t="n">
        <x:v>39</x:v>
      </x:c>
      <x:c r="D41" s="16" t="inlineStr">
        <x:is>
          <x:t xml:space="preserve">Python Automation</x:t>
        </x:is>
      </x:c>
      <x:c r="E41" s="7" t="inlineStr">
        <x:is>
          <x:t xml:space="preserve">subprocess and system commands. Понять, как запускать системные команды из Python и читать их вывод.</x:t>
        </x:is>
      </x:c>
      <x:c r="F41" s="7" t="inlineStr">
        <x:is>
          <x:t xml:space="preserve">Сделать тестовый скрипт, который запускает ping для одного адреса и пишет результат в файл.</x:t>
        </x:is>
      </x:c>
      <x:c r="G41" s="7" t="inlineStr">
        <x:is>
          <x:t xml:space="preserve">10 слов: subprocess, command, return code, output, execute, terminal, ping, result, log, capture</x:t>
        </x:is>
      </x:c>
      <x:c r="H41" s="7" t="inlineStr">
        <x:is>
          <x:t xml:space="preserve">Основа для ping script</x:t>
        </x:is>
      </x:c>
      <x:c r="I41" s="25" t="inlineStr">
        <x:is>
          <x:t xml:space="preserve"/>
        </x:is>
      </x:c>
      <x:c r="J41" s="24" t="n">
        <x:v>3</x:v>
      </x:c>
      <x:c r="K41" s="24">
        <x:f>SUM($J$3:J41)</x:f>
        <x:v>117</x:v>
      </x:c>
      <x:c r="L41" s="28" t="inlineStr">
        <x:is>
          <x:t xml:space="preserve"/>
        </x:is>
      </x:c>
    </x:row>
    <x:row r="42" ht="42" customHeight="1">
      <x:c r="A42" s="36" t="inlineStr">
        <x:is>
          <x:t xml:space="preserve">18.04.2026</x:t>
        </x:is>
      </x:c>
      <x:c r="B42" s="24" t="inlineStr">
        <x:is>
          <x:t xml:space="preserve">Неделя 6</x:t>
        </x:is>
      </x:c>
      <x:c r="C42" s="24" t="n">
        <x:v>40</x:v>
      </x:c>
      <x:c r="D42" s="16" t="inlineStr">
        <x:is>
          <x:t xml:space="preserve">Python Automation</x:t>
        </x:is>
      </x:c>
      <x:c r="E42" s="7" t="inlineStr">
        <x:is>
          <x:t xml:space="preserve">Script 2: multi-ping checker. Продумать логику: список адресов -&gt; ping -&gt; статус -&gt; запись в файл.</x:t>
        </x:is>
      </x:c>
      <x:c r="F42" s="7" t="inlineStr">
        <x:is>
          <x:t xml:space="preserve">Собрать и протестировать script 2 на 3-5 адресах. Оформить README.</x:t>
        </x:is>
      </x:c>
      <x:c r="G42" s="7" t="inlineStr">
        <x:is>
          <x:t xml:space="preserve">10 слов: host, status, available, unreachable, latency, result, text file, run, list, timeout</x:t>
        </x:is>
      </x:c>
      <x:c r="H42" s="7" t="inlineStr">
        <x:is>
          <x:t xml:space="preserve">Script 2 ready</x:t>
        </x:is>
      </x:c>
      <x:c r="I42" s="25" t="inlineStr">
        <x:is>
          <x:t xml:space="preserve"/>
        </x:is>
      </x:c>
      <x:c r="J42" s="24" t="n">
        <x:v>3</x:v>
      </x:c>
      <x:c r="K42" s="24">
        <x:f>SUM($J$3:J42)</x:f>
        <x:v>120</x:v>
      </x:c>
      <x:c r="L42" s="28" t="inlineStr">
        <x:is>
          <x:t xml:space="preserve"/>
        </x:is>
      </x:c>
    </x:row>
    <x:row r="43" ht="42" customHeight="1">
      <x:c r="A43" s="36" t="inlineStr">
        <x:is>
          <x:t xml:space="preserve">19.04.2026</x:t>
        </x:is>
      </x:c>
      <x:c r="B43" s="24" t="inlineStr">
        <x:is>
          <x:t xml:space="preserve">Неделя 6</x:t>
        </x:is>
      </x:c>
      <x:c r="C43" s="24" t="n">
        <x:v>41</x:v>
      </x:c>
      <x:c r="D43" s="16" t="inlineStr">
        <x:is>
          <x:t xml:space="preserve">Python Automation</x:t>
        </x:is>
      </x:c>
      <x:c r="E43" s="7" t="inlineStr">
        <x:is>
          <x:t xml:space="preserve">Script 3: batch rename / organizer. Продумать правила переименования файлов и безопасный dry run.</x:t>
        </x:is>
      </x:c>
      <x:c r="F43" s="7" t="inlineStr">
        <x:is>
          <x:t xml:space="preserve">Собрать script 3 для переименования файлов в папке или раскладки по расширениям.</x:t>
        </x:is>
      </x:c>
      <x:c r="G43" s="7" t="inlineStr">
        <x:is>
          <x:t xml:space="preserve">10 слов: batch, rename, organize, extension, folder, preview, safe, duplicate, scan, apply</x:t>
        </x:is>
      </x:c>
      <x:c r="H43" s="7" t="inlineStr">
        <x:is>
          <x:t xml:space="preserve">Script 3 ready</x:t>
        </x:is>
      </x:c>
      <x:c r="I43" s="25" t="inlineStr">
        <x:is>
          <x:t xml:space="preserve"/>
        </x:is>
      </x:c>
      <x:c r="J43" s="24" t="n">
        <x:v>3</x:v>
      </x:c>
      <x:c r="K43" s="24">
        <x:f>SUM($J$3:J43)</x:f>
        <x:v>123</x:v>
      </x:c>
      <x:c r="L43" s="28" t="inlineStr">
        <x:is>
          <x:t xml:space="preserve"/>
        </x:is>
      </x:c>
    </x:row>
    <x:row r="44" ht="42" customHeight="1">
      <x:c r="A44" s="36" t="inlineStr">
        <x:is>
          <x:t xml:space="preserve">20.04.2026</x:t>
        </x:is>
      </x:c>
      <x:c r="B44" s="24" t="inlineStr">
        <x:is>
          <x:t xml:space="preserve">Неделя 6</x:t>
        </x:is>
      </x:c>
      <x:c r="C44" s="24" t="n">
        <x:v>42</x:v>
      </x:c>
      <x:c r="D44" s="16" t="inlineStr">
        <x:is>
          <x:t xml:space="preserve">Python Automation</x:t>
        </x:is>
      </x:c>
      <x:c r="E44" s="7" t="inlineStr">
        <x:is>
          <x:t xml:space="preserve">Script 4: simple log parser. Продумать, что именно парсим: ERROR/INFO/WARNING или IP и дата.</x:t>
        </x:is>
      </x:c>
      <x:c r="F44" s="7" t="inlineStr">
        <x:is>
          <x:t xml:space="preserve">Собрать script 4, почистить все 4 проекта, оформить GitHub и мини-заметки по каждому.</x:t>
        </x:is>
      </x:c>
      <x:c r="G44" s="7" t="inlineStr">
        <x:is>
          <x:t xml:space="preserve">Повтор слов недель 5-6. Прочитать 1 короткий tutorial и выписать незнакомые слова.</x:t>
        </x:is>
      </x:c>
      <x:c r="H44" s="7" t="inlineStr">
        <x:is>
          <x:t xml:space="preserve">4 scripts on GitHub</x:t>
        </x:is>
      </x:c>
      <x:c r="I44" s="25" t="inlineStr">
        <x:is>
          <x:t xml:space="preserve"/>
        </x:is>
      </x:c>
      <x:c r="J44" s="24" t="n">
        <x:v>3</x:v>
      </x:c>
      <x:c r="K44" s="24">
        <x:f>SUM($J$3:J44)</x:f>
        <x:v>126</x:v>
      </x:c>
      <x:c r="L44" s="28" t="inlineStr">
        <x:is>
          <x:t xml:space="preserve"/>
        </x:is>
      </x:c>
    </x:row>
    <x:row r="45" ht="42" customHeight="1">
      <x:c r="A45" s="36" t="inlineStr">
        <x:is>
          <x:t xml:space="preserve">21.04.2026</x:t>
        </x:is>
      </x:c>
      <x:c r="B45" s="24" t="inlineStr">
        <x:is>
          <x:t xml:space="preserve">Неделя 7</x:t>
        </x:is>
      </x:c>
      <x:c r="C45" s="24" t="n">
        <x:v>43</x:v>
      </x:c>
      <x:c r="D45" s="17" t="inlineStr">
        <x:is>
          <x:t xml:space="preserve">Cybersecurity</x:t>
        </x:is>
      </x:c>
      <x:c r="E45" s="7" t="inlineStr">
        <x:is>
          <x:t xml:space="preserve">Security principles. Понять CIA triad, threat, vulnerability, risk, control. Записать 1 бытовой пример на каждый термин.</x:t>
        </x:is>
      </x:c>
      <x:c r="F45" s="7" t="inlineStr">
        <x:is>
          <x:t xml:space="preserve">Сделать таблицу: актив -&gt; угроза -&gt; уязвимость -&gt; мера защиты.</x:t>
        </x:is>
      </x:c>
      <x:c r="G45" s="7" t="inlineStr">
        <x:is>
          <x:t xml:space="preserve">10 слов: confidentiality, integrity, availability, threat, vulnerability, risk, control, asset, impact, mitigate</x:t>
        </x:is>
      </x:c>
      <x:c r="H45" s="7" t="inlineStr">
        <x:is>
          <x:t xml:space="preserve">Security concepts table</x:t>
        </x:is>
      </x:c>
      <x:c r="I45" s="25" t="inlineStr">
        <x:is>
          <x:t xml:space="preserve"/>
        </x:is>
      </x:c>
      <x:c r="J45" s="24" t="n">
        <x:v>3</x:v>
      </x:c>
      <x:c r="K45" s="24">
        <x:f>SUM($J$3:J45)</x:f>
        <x:v>129</x:v>
      </x:c>
      <x:c r="L45" s="28" t="inlineStr">
        <x:is>
          <x:t xml:space="preserve"/>
        </x:is>
      </x:c>
    </x:row>
    <x:row r="46" ht="42" customHeight="1">
      <x:c r="A46" s="36" t="inlineStr">
        <x:is>
          <x:t xml:space="preserve">22.04.2026</x:t>
        </x:is>
      </x:c>
      <x:c r="B46" s="24" t="inlineStr">
        <x:is>
          <x:t xml:space="preserve">Неделя 7</x:t>
        </x:is>
      </x:c>
      <x:c r="C46" s="24" t="n">
        <x:v>44</x:v>
      </x:c>
      <x:c r="D46" s="17" t="inlineStr">
        <x:is>
          <x:t xml:space="preserve">Cybersecurity</x:t>
        </x:is>
      </x:c>
      <x:c r="E46" s="7" t="inlineStr">
        <x:is>
          <x:t xml:space="preserve">Auth, passwords, MFA, least privilege. Понять сильный пароль, MFA, reuse risk и least privilege. Записать типовые ошибки пользователей.</x:t>
        </x:is>
      </x:c>
      <x:c r="F46" s="7" t="inlineStr">
        <x:is>
          <x:t xml:space="preserve">Проверить свои аккаунты: где включить MFA, где поменять слабые пароли, что можно сделать сегодня.</x:t>
        </x:is>
      </x:c>
      <x:c r="G46" s="7" t="inlineStr">
        <x:is>
          <x:t xml:space="preserve">10 слов: authentication, factor, password reuse, privilege, access, verify, token, identity, secure, account</x:t>
        </x:is>
      </x:c>
      <x:c r="H46" s="7" t="inlineStr">
        <x:is>
          <x:t xml:space="preserve">Чеклист MFA и паролей</x:t>
        </x:is>
      </x:c>
      <x:c r="I46" s="25" t="inlineStr">
        <x:is>
          <x:t xml:space="preserve"/>
        </x:is>
      </x:c>
      <x:c r="J46" s="24" t="n">
        <x:v>3</x:v>
      </x:c>
      <x:c r="K46" s="24">
        <x:f>SUM($J$3:J46)</x:f>
        <x:v>132</x:v>
      </x:c>
      <x:c r="L46" s="28" t="inlineStr">
        <x:is>
          <x:t xml:space="preserve"/>
        </x:is>
      </x:c>
    </x:row>
    <x:row r="47" ht="42" customHeight="1">
      <x:c r="A47" s="36" t="inlineStr">
        <x:is>
          <x:t xml:space="preserve">23.04.2026</x:t>
        </x:is>
      </x:c>
      <x:c r="B47" s="24" t="inlineStr">
        <x:is>
          <x:t xml:space="preserve">Неделя 7</x:t>
        </x:is>
      </x:c>
      <x:c r="C47" s="24" t="n">
        <x:v>45</x:v>
      </x:c>
      <x:c r="D47" s="17" t="inlineStr">
        <x:is>
          <x:t xml:space="preserve">Cybersecurity</x:t>
        </x:is>
      </x:c>
      <x:c r="E47" s="7" t="inlineStr">
        <x:is>
          <x:t xml:space="preserve">Malware, phishing, social engineering. Понять типы фишинга и вредоносов. Записать красные флаги в письме.</x:t>
        </x:is>
      </x:c>
      <x:c r="F47" s="7" t="inlineStr">
        <x:is>
          <x:t xml:space="preserve">Разобрать 5 примеров писем/сообщений и отметить признаки фишинга.</x:t>
        </x:is>
      </x:c>
      <x:c r="G47" s="7" t="inlineStr">
        <x:is>
          <x:t xml:space="preserve">10 слов: phishing, attachment, spoofing, malicious, scam, urgency, link, sender, domain, payload</x:t>
        </x:is>
      </x:c>
      <x:c r="H47" s="7" t="inlineStr">
        <x:is>
          <x:t xml:space="preserve">Разбор 5 фишинговых примеров</x:t>
        </x:is>
      </x:c>
      <x:c r="I47" s="25" t="inlineStr">
        <x:is>
          <x:t xml:space="preserve"/>
        </x:is>
      </x:c>
      <x:c r="J47" s="24" t="n">
        <x:v>3</x:v>
      </x:c>
      <x:c r="K47" s="24">
        <x:f>SUM($J$3:J47)</x:f>
        <x:v>135</x:v>
      </x:c>
      <x:c r="L47" s="28" t="inlineStr">
        <x:is>
          <x:t xml:space="preserve"/>
        </x:is>
      </x:c>
    </x:row>
    <x:row r="48" ht="42" customHeight="1">
      <x:c r="A48" s="36" t="inlineStr">
        <x:is>
          <x:t xml:space="preserve">24.04.2026</x:t>
        </x:is>
      </x:c>
      <x:c r="B48" s="24" t="inlineStr">
        <x:is>
          <x:t xml:space="preserve">Неделя 7</x:t>
        </x:is>
      </x:c>
      <x:c r="C48" s="24" t="n">
        <x:v>46</x:v>
      </x:c>
      <x:c r="D48" s="17" t="inlineStr">
        <x:is>
          <x:t xml:space="preserve">Cybersecurity</x:t>
        </x:is>
      </x:c>
      <x:c r="E48" s="7" t="inlineStr">
        <x:is>
          <x:t xml:space="preserve">Patching, backups, hardening. Понять, зачем нужны патчи, бэкапы и hardening. Записать базовые меры для ПК.</x:t>
        </x:is>
      </x:c>
      <x:c r="F48" s="7" t="inlineStr">
        <x:is>
          <x:t xml:space="preserve">Составить для своего ПК список: обновления, backup-папки, лишние программы, автозагрузка, браузер.</x:t>
        </x:is>
      </x:c>
      <x:c r="G48" s="7" t="inlineStr">
        <x:is>
          <x:t xml:space="preserve">10 слов: patch, backup, hardening, baseline, update, remove, secure, browser, recovery, restore</x:t>
        </x:is>
      </x:c>
      <x:c r="H48" s="7" t="inlineStr">
        <x:is>
          <x:t xml:space="preserve">PC hardening draft</x:t>
        </x:is>
      </x:c>
      <x:c r="I48" s="25" t="inlineStr">
        <x:is>
          <x:t xml:space="preserve"/>
        </x:is>
      </x:c>
      <x:c r="J48" s="24" t="n">
        <x:v>3</x:v>
      </x:c>
      <x:c r="K48" s="24">
        <x:f>SUM($J$3:J48)</x:f>
        <x:v>138</x:v>
      </x:c>
      <x:c r="L48" s="28" t="inlineStr">
        <x:is>
          <x:t xml:space="preserve"/>
        </x:is>
      </x:c>
    </x:row>
    <x:row r="49" ht="42" customHeight="1">
      <x:c r="A49" s="36" t="inlineStr">
        <x:is>
          <x:t xml:space="preserve">25.04.2026</x:t>
        </x:is>
      </x:c>
      <x:c r="B49" s="24" t="inlineStr">
        <x:is>
          <x:t xml:space="preserve">Неделя 7</x:t>
        </x:is>
      </x:c>
      <x:c r="C49" s="24" t="n">
        <x:v>47</x:v>
      </x:c>
      <x:c r="D49" s="17" t="inlineStr">
        <x:is>
          <x:t xml:space="preserve">Cybersecurity</x:t>
        </x:is>
      </x:c>
      <x:c r="E49" s="7" t="inlineStr">
        <x:is>
          <x:t xml:space="preserve">Defender, Firewall, browser safety. Понять, как работают базовые защитные средства на Windows.</x:t>
        </x:is>
      </x:c>
      <x:c r="F49" s="7" t="inlineStr">
        <x:is>
          <x:t xml:space="preserve">Проверить Defender, Firewall, SmartScreen / browser security settings и записать статус.</x:t>
        </x:is>
      </x:c>
      <x:c r="G49" s="7" t="inlineStr">
        <x:is>
          <x:t xml:space="preserve">10 слов: scan, quarantine, firewall rule, browser protection, download, block, alert, unsafe, site, warning</x:t>
        </x:is>
      </x:c>
      <x:c r="H49" s="7" t="inlineStr">
        <x:is>
          <x:t xml:space="preserve">Security settings checklist</x:t>
        </x:is>
      </x:c>
      <x:c r="I49" s="25" t="inlineStr">
        <x:is>
          <x:t xml:space="preserve"/>
        </x:is>
      </x:c>
      <x:c r="J49" s="24" t="n">
        <x:v>3</x:v>
      </x:c>
      <x:c r="K49" s="24">
        <x:f>SUM($J$3:J49)</x:f>
        <x:v>141</x:v>
      </x:c>
      <x:c r="L49" s="28" t="inlineStr">
        <x:is>
          <x:t xml:space="preserve"/>
        </x:is>
      </x:c>
    </x:row>
    <x:row r="50" ht="42" customHeight="1">
      <x:c r="A50" s="36" t="inlineStr">
        <x:is>
          <x:t xml:space="preserve">26.04.2026</x:t>
        </x:is>
      </x:c>
      <x:c r="B50" s="24" t="inlineStr">
        <x:is>
          <x:t xml:space="preserve">Неделя 7</x:t>
        </x:is>
      </x:c>
      <x:c r="C50" s="24" t="n">
        <x:v>48</x:v>
      </x:c>
      <x:c r="D50" s="17" t="inlineStr">
        <x:is>
          <x:t xml:space="preserve">Cybersecurity</x:t>
        </x:is>
      </x:c>
      <x:c r="E50" s="7" t="inlineStr">
        <x:is>
          <x:t xml:space="preserve">Security logs and Event Viewer. Понять, зачем аналитикам нужны события входа, ошибки и security logs.</x:t>
        </x:is>
      </x:c>
      <x:c r="F50" s="7" t="inlineStr">
        <x:is>
          <x:t xml:space="preserve">Открыть Event Viewer, найти несколько security/system событий и описать их своими словами.</x:t>
        </x:is>
      </x:c>
      <x:c r="G50" s="7" t="inlineStr">
        <x:is>
          <x:t xml:space="preserve">10 слов: event, audit, login, failure, source, timestamp, event id, logon, review, suspicious</x:t>
        </x:is>
      </x:c>
      <x:c r="H50" s="7" t="inlineStr">
        <x:is>
          <x:t xml:space="preserve">Event Viewer notes</x:t>
        </x:is>
      </x:c>
      <x:c r="I50" s="25" t="inlineStr">
        <x:is>
          <x:t xml:space="preserve"/>
        </x:is>
      </x:c>
      <x:c r="J50" s="24" t="n">
        <x:v>3</x:v>
      </x:c>
      <x:c r="K50" s="24">
        <x:f>SUM($J$3:J50)</x:f>
        <x:v>144</x:v>
      </x:c>
      <x:c r="L50" s="28" t="inlineStr">
        <x:is>
          <x:t xml:space="preserve"/>
        </x:is>
      </x:c>
    </x:row>
    <x:row r="51" ht="42" customHeight="1">
      <x:c r="A51" s="36" t="inlineStr">
        <x:is>
          <x:t xml:space="preserve">27.04.2026</x:t>
        </x:is>
      </x:c>
      <x:c r="B51" s="24" t="inlineStr">
        <x:is>
          <x:t xml:space="preserve">Неделя 7</x:t>
        </x:is>
      </x:c>
      <x:c r="C51" s="24" t="n">
        <x:v>49</x:v>
      </x:c>
      <x:c r="D51" s="17" t="inlineStr">
        <x:is>
          <x:t xml:space="preserve">Cybersecurity</x:t>
        </x:is>
      </x:c>
      <x:c r="E51" s="7" t="inlineStr">
        <x:is>
          <x:t xml:space="preserve">Review недели 7. Повторить CIA, MFA, phishing, hardening. Свести все в практичный чеклист.</x:t>
        </x:is>
      </x:c>
      <x:c r="F51" s="7" t="inlineStr">
        <x:is>
          <x:t xml:space="preserve">Доделать итоговый hardening checklist для своего ПК и повторить 20 cyber terms.</x:t>
        </x:is>
      </x:c>
      <x:c r="G51" s="7" t="inlineStr">
        <x:is>
          <x:t xml:space="preserve">Повтор слов недели 7. Прочитать 1 короткое security notice.</x:t>
        </x:is>
      </x:c>
      <x:c r="H51" s="7" t="inlineStr">
        <x:is>
          <x:t xml:space="preserve">PC hardening checklist</x:t>
        </x:is>
      </x:c>
      <x:c r="I51" s="25" t="inlineStr">
        <x:is>
          <x:t xml:space="preserve"/>
        </x:is>
      </x:c>
      <x:c r="J51" s="24" t="n">
        <x:v>3</x:v>
      </x:c>
      <x:c r="K51" s="24">
        <x:f>SUM($J$3:J51)</x:f>
        <x:v>147</x:v>
      </x:c>
      <x:c r="L51" s="28" t="inlineStr">
        <x:is>
          <x:t xml:space="preserve"/>
        </x:is>
      </x:c>
    </x:row>
    <x:row r="52" ht="42" customHeight="1">
      <x:c r="A52" s="36" t="inlineStr">
        <x:is>
          <x:t xml:space="preserve">28.04.2026</x:t>
        </x:is>
      </x:c>
      <x:c r="B52" s="24" t="inlineStr">
        <x:is>
          <x:t xml:space="preserve">Неделя 8</x:t>
        </x:is>
      </x:c>
      <x:c r="C52" s="24" t="n">
        <x:v>50</x:v>
      </x:c>
      <x:c r="D52" s="17" t="inlineStr">
        <x:is>
          <x:t xml:space="preserve">Security Operations</x:t>
        </x:is>
      </x:c>
      <x:c r="E52" s="7" t="inlineStr">
        <x:is>
          <x:t xml:space="preserve">SOC / SIEM / IOC basics. Понять event, alert, incident, IOC, false positive, triage.</x:t>
        </x:is>
      </x:c>
      <x:c r="F52" s="7" t="inlineStr">
        <x:is>
          <x:t xml:space="preserve">Сделать конспект: как путь идет от события до тикета в SOC.</x:t>
        </x:is>
      </x:c>
      <x:c r="G52" s="7" t="inlineStr">
        <x:is>
          <x:t xml:space="preserve">10 слов: alert, incident, event, indicator, triage, false positive, escalate, severity, queue, analyst</x:t>
        </x:is>
      </x:c>
      <x:c r="H52" s="7" t="inlineStr">
        <x:is>
          <x:t xml:space="preserve">SOC/SIEM glossary</x:t>
        </x:is>
      </x:c>
      <x:c r="I52" s="25" t="inlineStr">
        <x:is>
          <x:t xml:space="preserve"/>
        </x:is>
      </x:c>
      <x:c r="J52" s="24" t="n">
        <x:v>3</x:v>
      </x:c>
      <x:c r="K52" s="24">
        <x:f>SUM($J$3:J52)</x:f>
        <x:v>150</x:v>
      </x:c>
      <x:c r="L52" s="28" t="inlineStr">
        <x:is>
          <x:t xml:space="preserve"/>
        </x:is>
      </x:c>
    </x:row>
    <x:row r="53" ht="42" customHeight="1">
      <x:c r="A53" s="36" t="inlineStr">
        <x:is>
          <x:t xml:space="preserve">29.04.2026</x:t>
        </x:is>
      </x:c>
      <x:c r="B53" s="24" t="inlineStr">
        <x:is>
          <x:t xml:space="preserve">Неделя 8</x:t>
        </x:is>
      </x:c>
      <x:c r="C53" s="24" t="n">
        <x:v>51</x:v>
      </x:c>
      <x:c r="D53" s="17" t="inlineStr">
        <x:is>
          <x:t xml:space="preserve">Security Operations</x:t>
        </x:is>
      </x:c>
      <x:c r="E53" s="7" t="inlineStr">
        <x:is>
          <x:t xml:space="preserve">Network security basics. Понять firewall, VPN, segmentation, inbound/outbound, open ports.</x:t>
        </x:is>
      </x:c>
      <x:c r="F53" s="7" t="inlineStr">
        <x:is>
          <x:t xml:space="preserve">Нарисовать простую схему сети дома: роутер, ПК, VM, интернет и точки контроля.</x:t>
        </x:is>
      </x:c>
      <x:c r="G53" s="7" t="inlineStr">
        <x:is>
          <x:t xml:space="preserve">10 слов: inbound, outbound, segment, vpn, port, filter, rule, gateway, traffic, isolate</x:t>
        </x:is>
      </x:c>
      <x:c r="H53" s="7" t="inlineStr">
        <x:is>
          <x:t xml:space="preserve">Домашняя схема сети</x:t>
        </x:is>
      </x:c>
      <x:c r="I53" s="25" t="inlineStr">
        <x:is>
          <x:t xml:space="preserve"/>
        </x:is>
      </x:c>
      <x:c r="J53" s="24" t="n">
        <x:v>3</x:v>
      </x:c>
      <x:c r="K53" s="24">
        <x:f>SUM($J$3:J53)</x:f>
        <x:v>153</x:v>
      </x:c>
      <x:c r="L53" s="28" t="inlineStr">
        <x:is>
          <x:t xml:space="preserve"/>
        </x:is>
      </x:c>
    </x:row>
    <x:row r="54" ht="42" customHeight="1">
      <x:c r="A54" s="36" t="inlineStr">
        <x:is>
          <x:t xml:space="preserve">30.04.2026</x:t>
        </x:is>
      </x:c>
      <x:c r="B54" s="24" t="inlineStr">
        <x:is>
          <x:t xml:space="preserve">Неделя 8</x:t>
        </x:is>
      </x:c>
      <x:c r="C54" s="24" t="n">
        <x:v>52</x:v>
      </x:c>
      <x:c r="D54" s="17" t="inlineStr">
        <x:is>
          <x:t xml:space="preserve">Security Operations</x:t>
        </x:is>
      </x:c>
      <x:c r="E54" s="7" t="inlineStr">
        <x:is>
          <x:t xml:space="preserve">Incident response lifecycle. Понять стадии: detect, triage, contain, eradicate, recover, lessons learned.</x:t>
        </x:is>
      </x:c>
      <x:c r="F54" s="7" t="inlineStr">
        <x:is>
          <x:t xml:space="preserve">Смоделировать 1 кейс: подозрительное письмо -&gt; какие шаги делаешь по порядку.</x:t>
        </x:is>
      </x:c>
      <x:c r="G54" s="7" t="inlineStr">
        <x:is>
          <x:t xml:space="preserve">10 слов: contain, eradicate, recover, investigate, evidence, scope, timeline, escalation, notify, lesson</x:t>
        </x:is>
      </x:c>
      <x:c r="H54" s="7" t="inlineStr">
        <x:is>
          <x:t xml:space="preserve">Мини-план реакции на инцидент</x:t>
        </x:is>
      </x:c>
      <x:c r="I54" s="25" t="inlineStr">
        <x:is>
          <x:t xml:space="preserve"/>
        </x:is>
      </x:c>
      <x:c r="J54" s="24" t="n">
        <x:v>3</x:v>
      </x:c>
      <x:c r="K54" s="24">
        <x:f>SUM($J$3:J54)</x:f>
        <x:v>156</x:v>
      </x:c>
      <x:c r="L54" s="28" t="inlineStr">
        <x:is>
          <x:t xml:space="preserve"/>
        </x:is>
      </x:c>
    </x:row>
    <x:row r="55" ht="42" customHeight="1">
      <x:c r="A55" s="36" t="inlineStr">
        <x:is>
          <x:t xml:space="preserve">01.05.2026</x:t>
        </x:is>
      </x:c>
      <x:c r="B55" s="24" t="inlineStr">
        <x:is>
          <x:t xml:space="preserve">Неделя 8</x:t>
        </x:is>
      </x:c>
      <x:c r="C55" s="24" t="n">
        <x:v>53</x:v>
      </x:c>
      <x:c r="D55" s="17" t="inlineStr">
        <x:is>
          <x:t xml:space="preserve">Security Operations</x:t>
        </x:is>
      </x:c>
      <x:c r="E55" s="7" t="inlineStr">
        <x:is>
          <x:t xml:space="preserve">Email security lab. Понять SPF/DKIM/DMARC на базовом уровне и признаки опасного письма.</x:t>
        </x:is>
      </x:c>
      <x:c r="F55" s="7" t="inlineStr">
        <x:is>
          <x:t xml:space="preserve">Разобрать 3 письма глубже: sender, domain, link, attachment, urgency, mismatch.</x:t>
        </x:is>
      </x:c>
      <x:c r="G55" s="7" t="inlineStr">
        <x:is>
          <x:t xml:space="preserve">10 слов: sender, header, mismatch, attachment, spoof, signature, domain, mailbox, suspicious, malicious</x:t>
        </x:is>
      </x:c>
      <x:c r="H55" s="7" t="inlineStr">
        <x:is>
          <x:t xml:space="preserve">Разбор 3 email cases</x:t>
        </x:is>
      </x:c>
      <x:c r="I55" s="25" t="inlineStr">
        <x:is>
          <x:t xml:space="preserve"/>
        </x:is>
      </x:c>
      <x:c r="J55" s="24" t="n">
        <x:v>3</x:v>
      </x:c>
      <x:c r="K55" s="24">
        <x:f>SUM($J$3:J55)</x:f>
        <x:v>159</x:v>
      </x:c>
      <x:c r="L55" s="28" t="inlineStr">
        <x:is>
          <x:t xml:space="preserve"/>
        </x:is>
      </x:c>
    </x:row>
    <x:row r="56" ht="42" customHeight="1">
      <x:c r="A56" s="36" t="inlineStr">
        <x:is>
          <x:t xml:space="preserve">02.05.2026</x:t>
        </x:is>
      </x:c>
      <x:c r="B56" s="24" t="inlineStr">
        <x:is>
          <x:t xml:space="preserve">Неделя 8</x:t>
        </x:is>
      </x:c>
      <x:c r="C56" s="24" t="n">
        <x:v>54</x:v>
      </x:c>
      <x:c r="D56" s="17" t="inlineStr">
        <x:is>
          <x:t xml:space="preserve">Security Operations</x:t>
        </x:is>
      </x:c>
      <x:c r="E56" s="7" t="inlineStr">
        <x:is>
          <x:t xml:space="preserve">IAM / RBAC basics. Понять identity, access, role, group, least privilege, joiner-mover-leaver.</x:t>
        </x:is>
      </x:c>
      <x:c r="F56" s="7" t="inlineStr">
        <x:is>
          <x:t xml:space="preserve">Сделать простую матрицу доступа для 3 ролей: support, manager, intern.</x:t>
        </x:is>
      </x:c>
      <x:c r="G56" s="7" t="inlineStr">
        <x:is>
          <x:t xml:space="preserve">10 слов: identity, role, permission, revoke, approve, grant, access review, group, audit, role-based</x:t>
        </x:is>
      </x:c>
      <x:c r="H56" s="7" t="inlineStr">
        <x:is>
          <x:t xml:space="preserve">Матрица доступа</x:t>
        </x:is>
      </x:c>
      <x:c r="I56" s="25" t="inlineStr">
        <x:is>
          <x:t xml:space="preserve"/>
        </x:is>
      </x:c>
      <x:c r="J56" s="24" t="n">
        <x:v>3</x:v>
      </x:c>
      <x:c r="K56" s="24">
        <x:f>SUM($J$3:J56)</x:f>
        <x:v>162</x:v>
      </x:c>
      <x:c r="L56" s="28" t="inlineStr">
        <x:is>
          <x:t xml:space="preserve"/>
        </x:is>
      </x:c>
    </x:row>
    <x:row r="57" ht="42" customHeight="1">
      <x:c r="A57" s="36" t="inlineStr">
        <x:is>
          <x:t xml:space="preserve">03.05.2026</x:t>
        </x:is>
      </x:c>
      <x:c r="B57" s="24" t="inlineStr">
        <x:is>
          <x:t xml:space="preserve">Неделя 8</x:t>
        </x:is>
      </x:c>
      <x:c r="C57" s="24" t="n">
        <x:v>55</x:v>
      </x:c>
      <x:c r="D57" s="17" t="inlineStr">
        <x:is>
          <x:t xml:space="preserve">Security Operations</x:t>
        </x:is>
      </x:c>
      <x:c r="E57" s="7" t="inlineStr">
        <x:is>
          <x:t xml:space="preserve">ISC2 CC notes / sample questions. Пройти вводные темы CC: security principles, access control, incident basics.</x:t>
        </x:is>
      </x:c>
      <x:c r="F57" s="7" t="inlineStr">
        <x:is>
          <x:t xml:space="preserve">Решить пробные вопросы или сделать self-check по 20 вопросам в заметках.</x:t>
        </x:is>
      </x:c>
      <x:c r="G57" s="7" t="inlineStr">
        <x:is>
          <x:t xml:space="preserve">10 слов из тем CC: principle, control, safeguard, incident, policy, asset, risk, review, control, monitor</x:t>
        </x:is>
      </x:c>
      <x:c r="H57" s="7" t="inlineStr">
        <x:is>
          <x:t xml:space="preserve">CC notes v1</x:t>
        </x:is>
      </x:c>
      <x:c r="I57" s="25" t="inlineStr">
        <x:is>
          <x:t xml:space="preserve"/>
        </x:is>
      </x:c>
      <x:c r="J57" s="24" t="n">
        <x:v>3</x:v>
      </x:c>
      <x:c r="K57" s="24">
        <x:f>SUM($J$3:J57)</x:f>
        <x:v>165</x:v>
      </x:c>
      <x:c r="L57" s="28" t="inlineStr">
        <x:is>
          <x:t xml:space="preserve"/>
        </x:is>
      </x:c>
    </x:row>
    <x:row r="58" ht="42" customHeight="1">
      <x:c r="A58" s="36" t="inlineStr">
        <x:is>
          <x:t xml:space="preserve">04.05.2026</x:t>
        </x:is>
      </x:c>
      <x:c r="B58" s="24" t="inlineStr">
        <x:is>
          <x:t xml:space="preserve">Неделя 8</x:t>
        </x:is>
      </x:c>
      <x:c r="C58" s="24" t="n">
        <x:v>56</x:v>
      </x:c>
      <x:c r="D58" s="17" t="inlineStr">
        <x:is>
          <x:t xml:space="preserve">Security Operations</x:t>
        </x:is>
      </x:c>
      <x:c r="E58" s="7" t="inlineStr">
        <x:is>
          <x:t xml:space="preserve">Capstone недели 8. Свести SOC/SIEM, IR, IAM и email security в одну картину.</x:t>
        </x:is>
      </x:c>
      <x:c r="F58" s="7" t="inlineStr">
        <x:is>
          <x:t xml:space="preserve">Написать mini incident report на 1 страницу: что произошло, что сделал, что дальше.</x:t>
        </x:is>
      </x:c>
      <x:c r="G58" s="7" t="inlineStr">
        <x:is>
          <x:t xml:space="preserve">Повтор слов недели 8. Перевести 5 SOC-фраз.</x:t>
        </x:is>
      </x:c>
      <x:c r="H58" s="7" t="inlineStr">
        <x:is>
          <x:t xml:space="preserve">Mini incident report</x:t>
        </x:is>
      </x:c>
      <x:c r="I58" s="25" t="inlineStr">
        <x:is>
          <x:t xml:space="preserve"/>
        </x:is>
      </x:c>
      <x:c r="J58" s="24" t="n">
        <x:v>3</x:v>
      </x:c>
      <x:c r="K58" s="24">
        <x:f>SUM($J$3:J58)</x:f>
        <x:v>168</x:v>
      </x:c>
      <x:c r="L58" s="28" t="inlineStr">
        <x:is>
          <x:t xml:space="preserve"/>
        </x:is>
      </x:c>
    </x:row>
    <x:row r="59" ht="42" customHeight="1">
      <x:c r="A59" s="36" t="inlineStr">
        <x:is>
          <x:t xml:space="preserve">05.05.2026</x:t>
        </x:is>
      </x:c>
      <x:c r="B59" s="24" t="inlineStr">
        <x:is>
          <x:t xml:space="preserve">Неделя 9</x:t>
        </x:is>
      </x:c>
      <x:c r="C59" s="24" t="n">
        <x:v>57</x:v>
      </x:c>
      <x:c r="D59" s="18" t="inlineStr">
        <x:is>
          <x:t xml:space="preserve">Переход к работе</x:t>
        </x:is>
      </x:c>
      <x:c r="E59" s="7" t="inlineStr">
        <x:is>
          <x:t xml:space="preserve">Ticket writing standards. Повторить структуру хорошего тикета: context, symptoms, checks, result, next step.</x:t>
        </x:is>
      </x:c>
      <x:c r="F59" s="7" t="inlineStr">
        <x:is>
          <x:t xml:space="preserve">Написать 3 новых тикета и сравнить их с ранними версиями.</x:t>
        </x:is>
      </x:c>
      <x:c r="G59" s="7" t="inlineStr">
        <x:is>
          <x:t xml:space="preserve">10 слов: context, scope, user impact, workaround, pending, update, status, closure, follow-up, note</x:t>
        </x:is>
      </x:c>
      <x:c r="H59" s="7" t="inlineStr">
        <x:is>
          <x:t xml:space="preserve">3 improved tickets</x:t>
        </x:is>
      </x:c>
      <x:c r="I59" s="25" t="inlineStr">
        <x:is>
          <x:t xml:space="preserve"/>
        </x:is>
      </x:c>
      <x:c r="J59" s="24" t="n">
        <x:v>3</x:v>
      </x:c>
      <x:c r="K59" s="24">
        <x:f>SUM($J$3:J59)</x:f>
        <x:v>171</x:v>
      </x:c>
      <x:c r="L59" s="28" t="inlineStr">
        <x:is>
          <x:t xml:space="preserve"/>
        </x:is>
      </x:c>
    </x:row>
    <x:row r="60" ht="42" customHeight="1">
      <x:c r="A60" s="36" t="inlineStr">
        <x:is>
          <x:t xml:space="preserve">06.05.2026</x:t>
        </x:is>
      </x:c>
      <x:c r="B60" s="24" t="inlineStr">
        <x:is>
          <x:t xml:space="preserve">Неделя 9</x:t>
        </x:is>
      </x:c>
      <x:c r="C60" s="24" t="n">
        <x:v>58</x:v>
      </x:c>
      <x:c r="D60" s="18" t="inlineStr">
        <x:is>
          <x:t xml:space="preserve">Переход к работе</x:t>
        </x:is>
      </x:c>
      <x:c r="E60" s="7" t="inlineStr">
        <x:is>
          <x:t xml:space="preserve">Support interview answer bank. Подготовить ответы: почему IT, почему support, как учишься, как решаешь проблемы.</x:t>
        </x:is>
      </x:c>
      <x:c r="F60" s="7" t="inlineStr">
        <x:is>
          <x:t xml:space="preserve">Написать 10 кратких ответов на частые вопросы собеседования.</x:t>
        </x:is>
      </x:c>
      <x:c r="G60" s="7" t="inlineStr">
        <x:is>
          <x:t xml:space="preserve">10 слов: experience, learning, challenge, troubleshooting, responsibility, customer, teamwork, improve, process, support</x:t>
        </x:is>
      </x:c>
      <x:c r="H60" s="7" t="inlineStr">
        <x:is>
          <x:t xml:space="preserve">Answer bank v1</x:t>
        </x:is>
      </x:c>
      <x:c r="I60" s="25" t="inlineStr">
        <x:is>
          <x:t xml:space="preserve"/>
        </x:is>
      </x:c>
      <x:c r="J60" s="24" t="n">
        <x:v>3</x:v>
      </x:c>
      <x:c r="K60" s="24">
        <x:f>SUM($J$3:J60)</x:f>
        <x:v>174</x:v>
      </x:c>
      <x:c r="L60" s="28" t="inlineStr">
        <x:is>
          <x:t xml:space="preserve"/>
        </x:is>
      </x:c>
    </x:row>
    <x:row r="61" ht="42" customHeight="1">
      <x:c r="A61" s="36" t="inlineStr">
        <x:is>
          <x:t xml:space="preserve">07.05.2026</x:t>
        </x:is>
      </x:c>
      <x:c r="B61" s="24" t="inlineStr">
        <x:is>
          <x:t xml:space="preserve">Неделя 9</x:t>
        </x:is>
      </x:c>
      <x:c r="C61" s="24" t="n">
        <x:v>59</x:v>
      </x:c>
      <x:c r="D61" s="18" t="inlineStr">
        <x:is>
          <x:t xml:space="preserve">Переход к работе</x:t>
        </x:is>
      </x:c>
      <x:c r="E61" s="7" t="inlineStr">
        <x:is>
          <x:t xml:space="preserve">Refresh AD / DNS / DHCP / permissions. Повторить базовые определения и где они встречаются в работе support/sysadmin.</x:t>
        </x:is>
      </x:c>
      <x:c r="F61" s="7" t="inlineStr">
        <x:is>
          <x:t xml:space="preserve">Сделать 1 страницу 'шпаргалка к интервью' по этим темам.</x:t>
        </x:is>
      </x:c>
      <x:c r="G61" s="7" t="inlineStr">
        <x:is>
          <x:t xml:space="preserve">10 слов: dhcp, lease, dns record, domain, permission, policy, resolve, network, authentication, access</x:t>
        </x:is>
      </x:c>
      <x:c r="H61" s="7" t="inlineStr">
        <x:is>
          <x:t xml:space="preserve">Interview cheat sheet</x:t>
        </x:is>
      </x:c>
      <x:c r="I61" s="25" t="inlineStr">
        <x:is>
          <x:t xml:space="preserve"/>
        </x:is>
      </x:c>
      <x:c r="J61" s="24" t="n">
        <x:v>3</x:v>
      </x:c>
      <x:c r="K61" s="24">
        <x:f>SUM($J$3:J61)</x:f>
        <x:v>177</x:v>
      </x:c>
      <x:c r="L61" s="28" t="inlineStr">
        <x:is>
          <x:t xml:space="preserve"/>
        </x:is>
      </x:c>
    </x:row>
    <x:row r="62" ht="42" customHeight="1">
      <x:c r="A62" s="36" t="inlineStr">
        <x:is>
          <x:t xml:space="preserve">08.05.2026</x:t>
        </x:is>
      </x:c>
      <x:c r="B62" s="24" t="inlineStr">
        <x:is>
          <x:t xml:space="preserve">Неделя 9</x:t>
        </x:is>
      </x:c>
      <x:c r="C62" s="24" t="n">
        <x:v>60</x:v>
      </x:c>
      <x:c r="D62" s="18" t="inlineStr">
        <x:is>
          <x:t xml:space="preserve">Переход к работе</x:t>
        </x:is>
      </x:c>
      <x:c r="E62" s="7" t="inlineStr">
        <x:is>
          <x:t xml:space="preserve">Diagnostics commands lab. Повторить ipconfig, ping, nslookup, netstat, tracert, route print. Записать что показывает каждая команда.</x:t>
        </x:is>
      </x:c>
      <x:c r="F62" s="7" t="inlineStr">
        <x:is>
          <x:t xml:space="preserve">Выполнить все команды и сохранить вывод в отдельную папку lab-logs.</x:t>
        </x:is>
      </x:c>
      <x:c r="G62" s="7" t="inlineStr">
        <x:is>
          <x:t xml:space="preserve">10 слов: connection, listening, route, table, interface, resolver, adapter, command line, network path, address</x:t>
        </x:is>
      </x:c>
      <x:c r="H62" s="7" t="inlineStr">
        <x:is>
          <x:t xml:space="preserve">Diagnostics lab pack</x:t>
        </x:is>
      </x:c>
      <x:c r="I62" s="25" t="inlineStr">
        <x:is>
          <x:t xml:space="preserve"/>
        </x:is>
      </x:c>
      <x:c r="J62" s="24" t="n">
        <x:v>3</x:v>
      </x:c>
      <x:c r="K62" s="24">
        <x:f>SUM($J$3:J62)</x:f>
        <x:v>180</x:v>
      </x:c>
      <x:c r="L62" s="28" t="inlineStr">
        <x:is>
          <x:t xml:space="preserve"/>
        </x:is>
      </x:c>
    </x:row>
    <x:row r="63" ht="42" customHeight="1">
      <x:c r="A63" s="36" t="inlineStr">
        <x:is>
          <x:t xml:space="preserve">09.05.2026</x:t>
        </x:is>
      </x:c>
      <x:c r="B63" s="24" t="inlineStr">
        <x:is>
          <x:t xml:space="preserve">Неделя 9</x:t>
        </x:is>
      </x:c>
      <x:c r="C63" s="24" t="n">
        <x:v>61</x:v>
      </x:c>
      <x:c r="D63" s="18" t="inlineStr">
        <x:is>
          <x:t xml:space="preserve">Переход к работе</x:t>
        </x:is>
      </x:c>
      <x:c r="E63" s="7" t="inlineStr">
        <x:is>
          <x:t xml:space="preserve">Home lab document v2. Собрать в одном документе: VM, Linux, Windows, Python scripts, security checklist.</x:t>
        </x:is>
      </x:c>
      <x:c r="F63" s="7" t="inlineStr">
        <x:is>
          <x:t xml:space="preserve">Добавить скриншоты, ссылки на GitHub и короткие описания того, что умеешь.</x:t>
        </x:is>
      </x:c>
      <x:c r="G63" s="7" t="inlineStr">
        <x:is>
          <x:t xml:space="preserve">10 слов: document, summary, setup, screenshot, evidence, project, practical, environment, overview, profile</x:t>
        </x:is>
      </x:c>
      <x:c r="H63" s="7" t="inlineStr">
        <x:is>
          <x:t xml:space="preserve">Lab document v2</x:t>
        </x:is>
      </x:c>
      <x:c r="I63" s="25" t="inlineStr">
        <x:is>
          <x:t xml:space="preserve"/>
        </x:is>
      </x:c>
      <x:c r="J63" s="24" t="n">
        <x:v>3</x:v>
      </x:c>
      <x:c r="K63" s="24">
        <x:f>SUM($J$3:J63)</x:f>
        <x:v>183</x:v>
      </x:c>
      <x:c r="L63" s="28" t="inlineStr">
        <x:is>
          <x:t xml:space="preserve"/>
        </x:is>
      </x:c>
    </x:row>
    <x:row r="64" ht="42" customHeight="1">
      <x:c r="A64" s="36" t="inlineStr">
        <x:is>
          <x:t xml:space="preserve">10.05.2026</x:t>
        </x:is>
      </x:c>
      <x:c r="B64" s="24" t="inlineStr">
        <x:is>
          <x:t xml:space="preserve">Неделя 9</x:t>
        </x:is>
      </x:c>
      <x:c r="C64" s="24" t="n">
        <x:v>62</x:v>
      </x:c>
      <x:c r="D64" s="18" t="inlineStr">
        <x:is>
          <x:t xml:space="preserve">Переход к работе</x:t>
        </x:is>
      </x:c>
      <x:c r="E64" s="7" t="inlineStr">
        <x:is>
          <x:t xml:space="preserve">AI workflow for learning and work. Определить безопасный workflow: ИИ как tutor, reviewer и generator of drafts, но не как магия.</x:t>
        </x:is>
      </x:c>
      <x:c r="F64" s="7" t="inlineStr">
        <x:is>
          <x:t xml:space="preserve">Сделать 5 шаблонов запросов: для скриптов, тикетов, конспектов, интервью, поиска ошибок.</x:t>
        </x:is>
      </x:c>
      <x:c r="G64" s="7" t="inlineStr">
        <x:is>
          <x:t xml:space="preserve">10 слов: prompt, draft, review, explain, refactor, summarize, verify, clarify, safe, workflow</x:t>
        </x:is>
      </x:c>
      <x:c r="H64" s="7" t="inlineStr">
        <x:is>
          <x:t xml:space="preserve">5 AI prompts/templates</x:t>
        </x:is>
      </x:c>
      <x:c r="I64" s="25" t="inlineStr">
        <x:is>
          <x:t xml:space="preserve"/>
        </x:is>
      </x:c>
      <x:c r="J64" s="24" t="n">
        <x:v>3</x:v>
      </x:c>
      <x:c r="K64" s="24">
        <x:f>SUM($J$3:J64)</x:f>
        <x:v>186</x:v>
      </x:c>
      <x:c r="L64" s="28" t="inlineStr">
        <x:is>
          <x:t xml:space="preserve"/>
        </x:is>
      </x:c>
    </x:row>
    <x:row r="65" ht="42" customHeight="1">
      <x:c r="A65" s="36" t="inlineStr">
        <x:is>
          <x:t xml:space="preserve">11.05.2026</x:t>
        </x:is>
      </x:c>
      <x:c r="B65" s="24" t="inlineStr">
        <x:is>
          <x:t xml:space="preserve">Неделя 9</x:t>
        </x:is>
      </x:c>
      <x:c r="C65" s="24" t="n">
        <x:v>63</x:v>
      </x:c>
      <x:c r="D65" s="18" t="inlineStr">
        <x:is>
          <x:t xml:space="preserve">Переход к работе</x:t>
        </x:is>
      </x:c>
      <x:c r="E65" s="7" t="inlineStr">
        <x:is>
          <x:t xml:space="preserve">Review недели 9. Проверить готовность к первым откликам. Отметить пробелы, мешающие собеседованию.</x:t>
        </x:is>
      </x:c>
      <x:c r="F65" s="7" t="inlineStr">
        <x:is>
          <x:t xml:space="preserve">Сделать еще 5 simulated tickets и провести mock interview #2.</x:t>
        </x:is>
      </x:c>
      <x:c r="G65" s="7" t="inlineStr">
        <x:is>
          <x:t xml:space="preserve">Повтор слов недели 9. Перевести 5 интервью-фраз.</x:t>
        </x:is>
      </x:c>
      <x:c r="H65" s="7" t="inlineStr">
        <x:is>
          <x:t xml:space="preserve">Mock interview #2 + 15 tickets total</x:t>
        </x:is>
      </x:c>
      <x:c r="I65" s="25" t="inlineStr">
        <x:is>
          <x:t xml:space="preserve"/>
        </x:is>
      </x:c>
      <x:c r="J65" s="24" t="n">
        <x:v>3</x:v>
      </x:c>
      <x:c r="K65" s="24">
        <x:f>SUM($J$3:J65)</x:f>
        <x:v>189</x:v>
      </x:c>
      <x:c r="L65" s="28" t="inlineStr">
        <x:is>
          <x:t xml:space="preserve"/>
        </x:is>
      </x:c>
    </x:row>
    <x:row r="66" ht="42" customHeight="1">
      <x:c r="A66" s="36" t="inlineStr">
        <x:is>
          <x:t xml:space="preserve">12.05.2026</x:t>
        </x:is>
      </x:c>
      <x:c r="B66" s="24" t="inlineStr">
        <x:is>
          <x:t xml:space="preserve">Неделя 10</x:t>
        </x:is>
      </x:c>
      <x:c r="C66" s="24" t="n">
        <x:v>64</x:v>
      </x:c>
      <x:c r="D66" s="18" t="inlineStr">
        <x:is>
          <x:t xml:space="preserve">Упаковка</x:t>
        </x:is>
      </x:c>
      <x:c r="E66" s="7" t="inlineStr">
        <x:is>
          <x:t xml:space="preserve">Resume draft v1. Собрать структуру резюме: цель, навыки, проекты, домашняя lab-среда, Python, security basics.</x:t>
        </x:is>
      </x:c>
      <x:c r="F66" s="7" t="inlineStr">
        <x:is>
          <x:t xml:space="preserve">Написать черновик резюме на 1 страницу.</x:t>
        </x:is>
      </x:c>
      <x:c r="G66" s="7" t="inlineStr">
        <x:is>
          <x:t xml:space="preserve">10 слов: resume, summary, skill, project, objective, experience, highlight, relevant, practical, profile</x:t>
        </x:is>
      </x:c>
      <x:c r="H66" s="7" t="inlineStr">
        <x:is>
          <x:t xml:space="preserve">Resume v1</x:t>
        </x:is>
      </x:c>
      <x:c r="I66" s="25" t="inlineStr">
        <x:is>
          <x:t xml:space="preserve"/>
        </x:is>
      </x:c>
      <x:c r="J66" s="24" t="n">
        <x:v>3</x:v>
      </x:c>
      <x:c r="K66" s="24">
        <x:f>SUM($J$3:J66)</x:f>
        <x:v>192</x:v>
      </x:c>
      <x:c r="L66" s="28" t="inlineStr">
        <x:is>
          <x:t xml:space="preserve"/>
        </x:is>
      </x:c>
    </x:row>
    <x:row r="67" ht="42" customHeight="1">
      <x:c r="A67" s="36" t="inlineStr">
        <x:is>
          <x:t xml:space="preserve">13.05.2026</x:t>
        </x:is>
      </x:c>
      <x:c r="B67" s="24" t="inlineStr">
        <x:is>
          <x:t xml:space="preserve">Неделя 10</x:t>
        </x:is>
      </x:c>
      <x:c r="C67" s="24" t="n">
        <x:v>65</x:v>
      </x:c>
      <x:c r="D67" s="18" t="inlineStr">
        <x:is>
          <x:t xml:space="preserve">Упаковка</x:t>
        </x:is>
      </x:c>
      <x:c r="E67" s="7" t="inlineStr">
        <x:is>
          <x:t xml:space="preserve">HH profile. Заполнить резюме на hh.kz и добавить ключевые навыки без воды.</x:t>
        </x:is>
      </x:c>
      <x:c r="F67" s="7" t="inlineStr">
        <x:is>
          <x:t xml:space="preserve">Оформить HH-профиль, загрузить фото/резюме и проверить читаемость.</x:t>
        </x:is>
      </x:c>
      <x:c r="G67" s="7" t="inlineStr">
        <x:is>
          <x:t xml:space="preserve">10 слов: vacancy, employer, profile, salary, schedule, response, requirement, skillset, location, contact</x:t>
        </x:is>
      </x:c>
      <x:c r="H67" s="7" t="inlineStr">
        <x:is>
          <x:t xml:space="preserve">HH profile ready</x:t>
        </x:is>
      </x:c>
      <x:c r="I67" s="25" t="inlineStr">
        <x:is>
          <x:t xml:space="preserve"/>
        </x:is>
      </x:c>
      <x:c r="J67" s="24" t="n">
        <x:v>3</x:v>
      </x:c>
      <x:c r="K67" s="24">
        <x:f>SUM($J$3:J67)</x:f>
        <x:v>195</x:v>
      </x:c>
      <x:c r="L67" s="28" t="inlineStr">
        <x:is>
          <x:t xml:space="preserve"/>
        </x:is>
      </x:c>
    </x:row>
    <x:row r="68" ht="42" customHeight="1">
      <x:c r="A68" s="36" t="inlineStr">
        <x:is>
          <x:t xml:space="preserve">14.05.2026</x:t>
        </x:is>
      </x:c>
      <x:c r="B68" s="24" t="inlineStr">
        <x:is>
          <x:t xml:space="preserve">Неделя 10</x:t>
        </x:is>
      </x:c>
      <x:c r="C68" s="24" t="n">
        <x:v>66</x:v>
      </x:c>
      <x:c r="D68" s="18" t="inlineStr">
        <x:is>
          <x:t xml:space="preserve">Упаковка</x:t>
        </x:is>
      </x:c>
      <x:c r="E68" s="7" t="inlineStr">
        <x:is>
          <x:t xml:space="preserve">LinkedIn basics. Понять, что заполнять в headline, about, skills, projects. Записать 3 варианта headline.</x:t>
        </x:is>
      </x:c>
      <x:c r="F68" s="7" t="inlineStr">
        <x:is>
          <x:t xml:space="preserve">Оформить LinkedIn или обновить его минимум до базового уровня.</x:t>
        </x:is>
      </x:c>
      <x:c r="G68" s="7" t="inlineStr">
        <x:is>
          <x:t xml:space="preserve">10 слов: headline, profile, connect, network, skill, project, endorsement, summary, visibility, contact</x:t>
        </x:is>
      </x:c>
      <x:c r="H68" s="7" t="inlineStr">
        <x:is>
          <x:t xml:space="preserve">LinkedIn ready</x:t>
        </x:is>
      </x:c>
      <x:c r="I68" s="25" t="inlineStr">
        <x:is>
          <x:t xml:space="preserve"/>
        </x:is>
      </x:c>
      <x:c r="J68" s="24" t="n">
        <x:v>3</x:v>
      </x:c>
      <x:c r="K68" s="24">
        <x:f>SUM($J$3:J68)</x:f>
        <x:v>198</x:v>
      </x:c>
      <x:c r="L68" s="28" t="inlineStr">
        <x:is>
          <x:t xml:space="preserve"/>
        </x:is>
      </x:c>
    </x:row>
    <x:row r="69" ht="42" customHeight="1">
      <x:c r="A69" s="36" t="inlineStr">
        <x:is>
          <x:t xml:space="preserve">15.05.2026</x:t>
        </x:is>
      </x:c>
      <x:c r="B69" s="24" t="inlineStr">
        <x:is>
          <x:t xml:space="preserve">Неделя 10</x:t>
        </x:is>
      </x:c>
      <x:c r="C69" s="24" t="n">
        <x:v>67</x:v>
      </x:c>
      <x:c r="D69" s="18" t="inlineStr">
        <x:is>
          <x:t xml:space="preserve">Упаковка</x:t>
        </x:is>
      </x:c>
      <x:c r="E69" s="7" t="inlineStr">
        <x:is>
          <x:t xml:space="preserve">GitHub polish. Привести репозитории к понятному виду: названия, README, запуск, скриншоты.</x:t>
        </x:is>
      </x:c>
      <x:c r="F69" s="7" t="inlineStr">
        <x:is>
          <x:t xml:space="preserve">Обновить 4 проекта и закрепить лучшие репозитории.</x:t>
        </x:is>
      </x:c>
      <x:c r="G69" s="7" t="inlineStr">
        <x:is>
          <x:t xml:space="preserve">10 слов: repository, documentation, setup, usage, example, script, screenshot, commit, issue, improvement</x:t>
        </x:is>
      </x:c>
      <x:c r="H69" s="7" t="inlineStr">
        <x:is>
          <x:t xml:space="preserve">GitHub polished</x:t>
        </x:is>
      </x:c>
      <x:c r="I69" s="25" t="inlineStr">
        <x:is>
          <x:t xml:space="preserve"/>
        </x:is>
      </x:c>
      <x:c r="J69" s="24" t="n">
        <x:v>3</x:v>
      </x:c>
      <x:c r="K69" s="24">
        <x:f>SUM($J$3:J69)</x:f>
        <x:v>201</x:v>
      </x:c>
      <x:c r="L69" s="28" t="inlineStr">
        <x:is>
          <x:t xml:space="preserve"/>
        </x:is>
      </x:c>
    </x:row>
    <x:row r="70" ht="42" customHeight="1">
      <x:c r="A70" s="36" t="inlineStr">
        <x:is>
          <x:t xml:space="preserve">16.05.2026</x:t>
        </x:is>
      </x:c>
      <x:c r="B70" s="24" t="inlineStr">
        <x:is>
          <x:t xml:space="preserve">Неделя 10</x:t>
        </x:is>
      </x:c>
      <x:c r="C70" s="24" t="n">
        <x:v>68</x:v>
      </x:c>
      <x:c r="D70" s="18" t="inlineStr">
        <x:is>
          <x:t xml:space="preserve">Упаковка</x:t>
        </x:is>
      </x:c>
      <x:c r="E70" s="7" t="inlineStr">
        <x:is>
          <x:t xml:space="preserve">Career story and cover letter. Сформулировать историю перехода: почему support/sysadmin/cyber, чем уже доказал мотивацию.</x:t>
        </x:is>
      </x:c>
      <x:c r="F70" s="7" t="inlineStr">
        <x:is>
          <x:t xml:space="preserve">Написать 1 базовый шаблон сопроводительного письма и 3 bullets 'о себе'.</x:t>
        </x:is>
      </x:c>
      <x:c r="G70" s="7" t="inlineStr">
        <x:is>
          <x:t xml:space="preserve">10 слов: motivation, transition, candidate, strengths, practical, beginner, learning path, value, effort, reliable</x:t>
        </x:is>
      </x:c>
      <x:c r="H70" s="7" t="inlineStr">
        <x:is>
          <x:t xml:space="preserve">Career story + cover letter template</x:t>
        </x:is>
      </x:c>
      <x:c r="I70" s="25" t="inlineStr">
        <x:is>
          <x:t xml:space="preserve"/>
        </x:is>
      </x:c>
      <x:c r="J70" s="24" t="n">
        <x:v>3</x:v>
      </x:c>
      <x:c r="K70" s="24">
        <x:f>SUM($J$3:J70)</x:f>
        <x:v>204</x:v>
      </x:c>
      <x:c r="L70" s="28" t="inlineStr">
        <x:is>
          <x:t xml:space="preserve"/>
        </x:is>
      </x:c>
    </x:row>
    <x:row r="71" ht="42" customHeight="1">
      <x:c r="A71" s="36" t="inlineStr">
        <x:is>
          <x:t xml:space="preserve">17.05.2026</x:t>
        </x:is>
      </x:c>
      <x:c r="B71" s="24" t="inlineStr">
        <x:is>
          <x:t xml:space="preserve">Неделя 10</x:t>
        </x:is>
      </x:c>
      <x:c r="C71" s="24" t="n">
        <x:v>69</x:v>
      </x:c>
      <x:c r="D71" s="18" t="inlineStr">
        <x:is>
          <x:t xml:space="preserve">Упаковка</x:t>
        </x:is>
      </x:c>
      <x:c r="E71" s="7" t="inlineStr">
        <x:is>
          <x:t xml:space="preserve">Vacancy shortlist. Собрать критерии отбора вакансий: support/help desk/jr sysadmin/noc/jr soc.</x:t>
        </x:is>
      </x:c>
      <x:c r="F71" s="7" t="inlineStr">
        <x:is>
          <x:t xml:space="preserve">Найти 30 целевых вакансий и компаний, занести их в заметки/таблицу.</x:t>
        </x:is>
      </x:c>
      <x:c r="G71" s="7" t="inlineStr">
        <x:is>
          <x:t xml:space="preserve">10 слов: shortlist, requirement, trainee, junior, support, service desk, system administrator, shift, onsite, remote</x:t>
        </x:is>
      </x:c>
      <x:c r="H71" s="7" t="inlineStr">
        <x:is>
          <x:t xml:space="preserve">30 target vacancies</x:t>
        </x:is>
      </x:c>
      <x:c r="I71" s="25" t="inlineStr">
        <x:is>
          <x:t xml:space="preserve"/>
        </x:is>
      </x:c>
      <x:c r="J71" s="24" t="n">
        <x:v>3</x:v>
      </x:c>
      <x:c r="K71" s="24">
        <x:f>SUM($J$3:J71)</x:f>
        <x:v>207</x:v>
      </x:c>
      <x:c r="L71" s="28" t="inlineStr">
        <x:is>
          <x:t xml:space="preserve"/>
        </x:is>
      </x:c>
    </x:row>
    <x:row r="72" ht="42" customHeight="1">
      <x:c r="A72" s="36" t="inlineStr">
        <x:is>
          <x:t xml:space="preserve">18.05.2026</x:t>
        </x:is>
      </x:c>
      <x:c r="B72" s="24" t="inlineStr">
        <x:is>
          <x:t xml:space="preserve">Неделя 10</x:t>
        </x:is>
      </x:c>
      <x:c r="C72" s="24" t="n">
        <x:v>70</x:v>
      </x:c>
      <x:c r="D72" s="18" t="inlineStr">
        <x:is>
          <x:t xml:space="preserve">Упаковка</x:t>
        </x:is>
      </x:c>
      <x:c r="E72" s="7" t="inlineStr">
        <x:is>
          <x:t xml:space="preserve">First applications. Адаптировать резюме под 2-3 шаблона вакансий и решить, что откликаешься даже без 100% совпадения.</x:t>
        </x:is>
      </x:c>
      <x:c r="F72" s="7" t="inlineStr">
        <x:is>
          <x:t xml:space="preserve">Сделать первые 10 откликов и зафиксировать их в трекере.</x:t>
        </x:is>
      </x:c>
      <x:c r="G72" s="7" t="inlineStr">
        <x:is>
          <x:t xml:space="preserve">10 слов: apply, response, interview, requirement, fit, adapt, follow-up, screening, recruiter, schedule</x:t>
        </x:is>
      </x:c>
      <x:c r="H72" s="7" t="inlineStr">
        <x:is>
          <x:t xml:space="preserve">First 10 applications</x:t>
        </x:is>
      </x:c>
      <x:c r="I72" s="25" t="inlineStr">
        <x:is>
          <x:t xml:space="preserve"/>
        </x:is>
      </x:c>
      <x:c r="J72" s="24" t="n">
        <x:v>3</x:v>
      </x:c>
      <x:c r="K72" s="24">
        <x:f>SUM($J$3:J72)</x:f>
        <x:v>210</x:v>
      </x:c>
      <x:c r="L72" s="28" t="inlineStr">
        <x:is>
          <x:t xml:space="preserve"/>
        </x:is>
      </x:c>
    </x:row>
    <x:row r="73" ht="42" customHeight="1">
      <x:c r="A73" s="36" t="inlineStr">
        <x:is>
          <x:t xml:space="preserve">19.05.2026</x:t>
        </x:is>
      </x:c>
      <x:c r="B73" s="24" t="inlineStr">
        <x:is>
          <x:t xml:space="preserve">Неделя 11</x:t>
        </x:is>
      </x:c>
      <x:c r="C73" s="24" t="n">
        <x:v>71</x:v>
      </x:c>
      <x:c r="D73" s="19" t="inlineStr">
        <x:is>
          <x:t xml:space="preserve">Отклики</x:t>
        </x:is>
      </x:c>
      <x:c r="E73" s="7" t="inlineStr">
        <x:is>
          <x:t xml:space="preserve">Support interview practice. Повторить вопросы про users, network basics, troubleshooting, communication.</x:t>
        </x:is>
      </x:c>
      <x:c r="F73" s="7" t="inlineStr">
        <x:is>
          <x:t xml:space="preserve">Провести 1 mock interview с акцентом на support и записать слабые места.</x:t>
        </x:is>
      </x:c>
      <x:c r="G73" s="7" t="inlineStr">
        <x:is>
          <x:t xml:space="preserve">10 слов: resolve, prioritize, communicate, user issue, ticket, diagnose, verify, explain, customer, incident</x:t>
        </x:is>
      </x:c>
      <x:c r="H73" s="7" t="inlineStr">
        <x:is>
          <x:t xml:space="preserve">Mock interview #3</x:t>
        </x:is>
      </x:c>
      <x:c r="I73" s="25" t="inlineStr">
        <x:is>
          <x:t xml:space="preserve"/>
        </x:is>
      </x:c>
      <x:c r="J73" s="24" t="n">
        <x:v>3</x:v>
      </x:c>
      <x:c r="K73" s="24">
        <x:f>SUM($J$3:J73)</x:f>
        <x:v>213</x:v>
      </x:c>
      <x:c r="L73" s="28" t="inlineStr">
        <x:is>
          <x:t xml:space="preserve"/>
        </x:is>
      </x:c>
    </x:row>
    <x:row r="74" ht="42" customHeight="1">
      <x:c r="A74" s="36" t="inlineStr">
        <x:is>
          <x:t xml:space="preserve">20.05.2026</x:t>
        </x:is>
      </x:c>
      <x:c r="B74" s="24" t="inlineStr">
        <x:is>
          <x:t xml:space="preserve">Неделя 11</x:t>
        </x:is>
      </x:c>
      <x:c r="C74" s="24" t="n">
        <x:v>72</x:v>
      </x:c>
      <x:c r="D74" s="19" t="inlineStr">
        <x:is>
          <x:t xml:space="preserve">Отклики</x:t>
        </x:is>
      </x:c>
      <x:c r="E74" s="7" t="inlineStr">
        <x:is>
          <x:t xml:space="preserve">Sysadmin interview practice. Повторить Linux, services, permissions, backups, AD concepts, shares.</x:t>
        </x:is>
      </x:c>
      <x:c r="F74" s="7" t="inlineStr">
        <x:is>
          <x:t xml:space="preserve">Подготовить 10 ответов на техвопросы и 3 мини-истории из своей lab-практики.</x:t>
        </x:is>
      </x:c>
      <x:c r="G74" s="7" t="inlineStr">
        <x:is>
          <x:t xml:space="preserve">10 слов: service, permission, backup, restore, process, user, configuration, server, log, access</x:t>
        </x:is>
      </x:c>
      <x:c r="H74" s="7" t="inlineStr">
        <x:is>
          <x:t xml:space="preserve">Sysadmin answer bank</x:t>
        </x:is>
      </x:c>
      <x:c r="I74" s="25" t="inlineStr">
        <x:is>
          <x:t xml:space="preserve"/>
        </x:is>
      </x:c>
      <x:c r="J74" s="24" t="n">
        <x:v>3</x:v>
      </x:c>
      <x:c r="K74" s="24">
        <x:f>SUM($J$3:J74)</x:f>
        <x:v>216</x:v>
      </x:c>
      <x:c r="L74" s="28" t="inlineStr">
        <x:is>
          <x:t xml:space="preserve"/>
        </x:is>
      </x:c>
    </x:row>
    <x:row r="75" ht="42" customHeight="1">
      <x:c r="A75" s="36" t="inlineStr">
        <x:is>
          <x:t xml:space="preserve">21.05.2026</x:t>
        </x:is>
      </x:c>
      <x:c r="B75" s="24" t="inlineStr">
        <x:is>
          <x:t xml:space="preserve">Неделя 11</x:t>
        </x:is>
      </x:c>
      <x:c r="C75" s="24" t="n">
        <x:v>73</x:v>
      </x:c>
      <x:c r="D75" s="19" t="inlineStr">
        <x:is>
          <x:t xml:space="preserve">Отклики</x:t>
        </x:is>
      </x:c>
      <x:c r="E75" s="7" t="inlineStr">
        <x:is>
          <x:t xml:space="preserve">Junior SOC / SecOps practice. Повторить alert, IOC, phishing, IR lifecycle, MFA, least privilege.</x:t>
        </x:is>
      </x:c>
      <x:c r="F75" s="7" t="inlineStr">
        <x:is>
          <x:t xml:space="preserve">Подготовить 8 ответов на junior security вопросы и mini incident story.</x:t>
        </x:is>
      </x:c>
      <x:c r="G75" s="7" t="inlineStr">
        <x:is>
          <x:t xml:space="preserve">10 слов: triage, alert, incident, containment, indicator, suspicious, phishing, access review, severity, monitor</x:t>
        </x:is>
      </x:c>
      <x:c r="H75" s="7" t="inlineStr">
        <x:is>
          <x:t xml:space="preserve">Security answer bank</x:t>
        </x:is>
      </x:c>
      <x:c r="I75" s="25" t="inlineStr">
        <x:is>
          <x:t xml:space="preserve"/>
        </x:is>
      </x:c>
      <x:c r="J75" s="24" t="n">
        <x:v>3</x:v>
      </x:c>
      <x:c r="K75" s="24">
        <x:f>SUM($J$3:J75)</x:f>
        <x:v>219</x:v>
      </x:c>
      <x:c r="L75" s="28" t="inlineStr">
        <x:is>
          <x:t xml:space="preserve"/>
        </x:is>
      </x:c>
    </x:row>
    <x:row r="76" ht="42" customHeight="1">
      <x:c r="A76" s="36" t="inlineStr">
        <x:is>
          <x:t xml:space="preserve">22.05.2026</x:t>
        </x:is>
      </x:c>
      <x:c r="B76" s="24" t="inlineStr">
        <x:is>
          <x:t xml:space="preserve">Неделя 11</x:t>
        </x:is>
      </x:c>
      <x:c r="C76" s="24" t="n">
        <x:v>74</x:v>
      </x:c>
      <x:c r="D76" s="19" t="inlineStr">
        <x:is>
          <x:t xml:space="preserve">Отклики</x:t>
        </x:is>
      </x:c>
      <x:c r="E76" s="7" t="inlineStr">
        <x:is>
          <x:t xml:space="preserve">Applications batch 2. Проверить, что резюме и шаблон письма уже не тормозят отклики.</x:t>
        </x:is>
      </x:c>
      <x:c r="F76" s="7" t="inlineStr">
        <x:is>
          <x:t xml:space="preserve">Сделать еще 10 откликов и кратко отметить, где были ответы.</x:t>
        </x:is>
      </x:c>
      <x:c r="G76" s="7" t="inlineStr">
        <x:is>
          <x:t xml:space="preserve">10 слов: recruiter, response, shortlist, screening, schedule, rejection, follow-up, update, contact, availability</x:t>
        </x:is>
      </x:c>
      <x:c r="H76" s="7" t="inlineStr">
        <x:is>
          <x:t xml:space="preserve">20 applications total</x:t>
        </x:is>
      </x:c>
      <x:c r="I76" s="25" t="inlineStr">
        <x:is>
          <x:t xml:space="preserve"/>
        </x:is>
      </x:c>
      <x:c r="J76" s="24" t="n">
        <x:v>3</x:v>
      </x:c>
      <x:c r="K76" s="24">
        <x:f>SUM($J$3:J76)</x:f>
        <x:v>222</x:v>
      </x:c>
      <x:c r="L76" s="28" t="inlineStr">
        <x:is>
          <x:t xml:space="preserve"/>
        </x:is>
      </x:c>
    </x:row>
    <x:row r="77" ht="42" customHeight="1">
      <x:c r="A77" s="36" t="inlineStr">
        <x:is>
          <x:t xml:space="preserve">23.05.2026</x:t>
        </x:is>
      </x:c>
      <x:c r="B77" s="24" t="inlineStr">
        <x:is>
          <x:t xml:space="preserve">Неделя 11</x:t>
        </x:is>
      </x:c>
      <x:c r="C77" s="24" t="n">
        <x:v>75</x:v>
      </x:c>
      <x:c r="D77" s="19" t="inlineStr">
        <x:is>
          <x:t xml:space="preserve">Отклики</x:t>
        </x:is>
      </x:c>
      <x:c r="E77" s="7" t="inlineStr">
        <x:is>
          <x:t xml:space="preserve">Applications batch 3. Продолжить, не застревая на идеальности. Откликаться в несколько ролей сразу.</x:t>
        </x:is>
      </x:c>
      <x:c r="F77" s="7" t="inlineStr">
        <x:is>
          <x:t xml:space="preserve">Сделать еще 10 откликов и обновить трекер.</x:t>
        </x:is>
      </x:c>
      <x:c r="G77" s="7" t="inlineStr">
        <x:is>
          <x:t xml:space="preserve">10 слов: opportunity, pipeline, apply, match, role, employer, shift, office, contract, onboarding</x:t>
        </x:is>
      </x:c>
      <x:c r="H77" s="7" t="inlineStr">
        <x:is>
          <x:t xml:space="preserve">30 applications total</x:t>
        </x:is>
      </x:c>
      <x:c r="I77" s="25" t="inlineStr">
        <x:is>
          <x:t xml:space="preserve"/>
        </x:is>
      </x:c>
      <x:c r="J77" s="24" t="n">
        <x:v>3</x:v>
      </x:c>
      <x:c r="K77" s="24">
        <x:f>SUM($J$3:J77)</x:f>
        <x:v>225</x:v>
      </x:c>
      <x:c r="L77" s="28" t="inlineStr">
        <x:is>
          <x:t xml:space="preserve"/>
        </x:is>
      </x:c>
    </x:row>
    <x:row r="78" ht="42" customHeight="1">
      <x:c r="A78" s="36" t="inlineStr">
        <x:is>
          <x:t xml:space="preserve">24.05.2026</x:t>
        </x:is>
      </x:c>
      <x:c r="B78" s="24" t="inlineStr">
        <x:is>
          <x:t xml:space="preserve">Неделя 11</x:t>
        </x:is>
      </x:c>
      <x:c r="C78" s="24" t="n">
        <x:v>76</x:v>
      </x:c>
      <x:c r="D78" s="19" t="inlineStr">
        <x:is>
          <x:t xml:space="preserve">Отклики</x:t>
        </x:is>
      </x:c>
      <x:c r="E78" s="7" t="inlineStr">
        <x:is>
          <x:t xml:space="preserve">Follow-up and cleanup. Понять, как вежливо писать follow-up и как вести таблицу вакансий.</x:t>
        </x:is>
      </x:c>
      <x:c r="F78" s="7" t="inlineStr">
        <x:is>
          <x:t xml:space="preserve">Обновить статусы по откликам, подготовить короткое follow-up сообщение.</x:t>
        </x:is>
      </x:c>
      <x:c r="G78" s="7" t="inlineStr">
        <x:is>
          <x:t xml:space="preserve">10 слов: follow-up, status, update, schedule, reminder, message, recruiter, process, timeline, response</x:t>
        </x:is>
      </x:c>
      <x:c r="H78" s="7" t="inlineStr">
        <x:is>
          <x:t xml:space="preserve">Vacancy tracker cleaned</x:t>
        </x:is>
      </x:c>
      <x:c r="I78" s="25" t="inlineStr">
        <x:is>
          <x:t xml:space="preserve"/>
        </x:is>
      </x:c>
      <x:c r="J78" s="24" t="n">
        <x:v>3</x:v>
      </x:c>
      <x:c r="K78" s="24">
        <x:f>SUM($J$3:J78)</x:f>
        <x:v>228</x:v>
      </x:c>
      <x:c r="L78" s="28" t="inlineStr">
        <x:is>
          <x:t xml:space="preserve"/>
        </x:is>
      </x:c>
    </x:row>
    <x:row r="79" ht="42" customHeight="1">
      <x:c r="A79" s="36" t="inlineStr">
        <x:is>
          <x:t xml:space="preserve">25.05.2026</x:t>
        </x:is>
      </x:c>
      <x:c r="B79" s="24" t="inlineStr">
        <x:is>
          <x:t xml:space="preserve">Неделя 11</x:t>
        </x:is>
      </x:c>
      <x:c r="C79" s="24" t="n">
        <x:v>77</x:v>
      </x:c>
      <x:c r="D79" s="19" t="inlineStr">
        <x:is>
          <x:t xml:space="preserve">Отклики</x:t>
        </x:is>
      </x:c>
      <x:c r="E79" s="7" t="inlineStr">
        <x:is>
          <x:t xml:space="preserve">Capstone недели 11. Свести интервью и отклики в систему. Посмотреть, где именно проседаешь.</x:t>
        </x:is>
      </x:c>
      <x:c r="F79" s="7" t="inlineStr">
        <x:is>
          <x:t xml:space="preserve">Провести разбор 30 откликов и обновить резюме/ответы по итогам.</x:t>
        </x:is>
      </x:c>
      <x:c r="G79" s="7" t="inlineStr">
        <x:is>
          <x:t xml:space="preserve">Повтор слов недели 11. Перевести 5 recruiter-фраз.</x:t>
        </x:is>
      </x:c>
      <x:c r="H79" s="7" t="inlineStr">
        <x:is>
          <x:t xml:space="preserve">Applications review + improvements</x:t>
        </x:is>
      </x:c>
      <x:c r="I79" s="25" t="inlineStr">
        <x:is>
          <x:t xml:space="preserve"/>
        </x:is>
      </x:c>
      <x:c r="J79" s="24" t="n">
        <x:v>3</x:v>
      </x:c>
      <x:c r="K79" s="24">
        <x:f>SUM($J$3:J79)</x:f>
        <x:v>231</x:v>
      </x:c>
      <x:c r="L79" s="28" t="inlineStr">
        <x:is>
          <x:t xml:space="preserve"/>
        </x:is>
      </x:c>
    </x:row>
    <x:row r="80" ht="42" customHeight="1">
      <x:c r="A80" s="36" t="inlineStr">
        <x:is>
          <x:t xml:space="preserve">26.05.2026</x:t>
        </x:is>
      </x:c>
      <x:c r="B80" s="24" t="inlineStr">
        <x:is>
          <x:t xml:space="preserve">Неделя 12</x:t>
        </x:is>
      </x:c>
      <x:c r="C80" s="24" t="n">
        <x:v>78</x:v>
      </x:c>
      <x:c r="D80" s="20" t="inlineStr">
        <x:is>
          <x:t xml:space="preserve">Финишный спринт</x:t>
        </x:is>
      </x:c>
      <x:c r="E80" s="7" t="inlineStr">
        <x:is>
          <x:t xml:space="preserve">Weak topics repair. Выбрать 3 самые слабые темы по заметкам и интервью: например DNS, permissions, logs.</x:t>
        </x:is>
      </x:c>
      <x:c r="F80" s="7" t="inlineStr">
        <x:is>
          <x:t xml:space="preserve">Закрыть пробелы: пересмотреть конспекты, повторить команды, сделать 1 mini-lab на слабую тему.</x:t>
        </x:is>
      </x:c>
      <x:c r="G80" s="7" t="inlineStr">
        <x:is>
          <x:t xml:space="preserve">10 слов по слабым темам.</x:t>
        </x:is>
      </x:c>
      <x:c r="H80" s="7" t="inlineStr">
        <x:is>
          <x:t xml:space="preserve">Gap list closed</x:t>
        </x:is>
      </x:c>
      <x:c r="I80" s="25" t="inlineStr">
        <x:is>
          <x:t xml:space="preserve"/>
        </x:is>
      </x:c>
      <x:c r="J80" s="24" t="n">
        <x:v>3</x:v>
      </x:c>
      <x:c r="K80" s="24">
        <x:f>SUM($J$3:J80)</x:f>
        <x:v>234</x:v>
      </x:c>
      <x:c r="L80" s="28" t="inlineStr">
        <x:is>
          <x:t xml:space="preserve"/>
        </x:is>
      </x:c>
    </x:row>
    <x:row r="81" ht="42" customHeight="1">
      <x:c r="A81" s="36" t="inlineStr">
        <x:is>
          <x:t xml:space="preserve">27.05.2026</x:t>
        </x:is>
      </x:c>
      <x:c r="B81" s="24" t="inlineStr">
        <x:is>
          <x:t xml:space="preserve">Неделя 12</x:t>
        </x:is>
      </x:c>
      <x:c r="C81" s="24" t="n">
        <x:v>79</x:v>
      </x:c>
      <x:c r="D81" s="20" t="inlineStr">
        <x:is>
          <x:t xml:space="preserve">Финишный спринт</x:t>
        </x:is>
      </x:c>
      <x:c r="E81" s="7" t="inlineStr">
        <x:is>
          <x:t xml:space="preserve">ISC2 CC revision / security refresh. Повторить security principles, access control, incident response и термины.</x:t>
        </x:is>
      </x:c>
      <x:c r="F81" s="7" t="inlineStr">
        <x:is>
          <x:t xml:space="preserve">Решить мини-самопроверку или обновить CC notes.</x:t>
        </x:is>
      </x:c>
      <x:c r="G81" s="7" t="inlineStr">
        <x:is>
          <x:t xml:space="preserve">10 слов из безопасности для финального повторения.</x:t>
        </x:is>
      </x:c>
      <x:c r="H81" s="7" t="inlineStr">
        <x:is>
          <x:t xml:space="preserve">CC notes v2</x:t>
        </x:is>
      </x:c>
      <x:c r="I81" s="25" t="inlineStr">
        <x:is>
          <x:t xml:space="preserve"/>
        </x:is>
      </x:c>
      <x:c r="J81" s="24" t="n">
        <x:v>3</x:v>
      </x:c>
      <x:c r="K81" s="24">
        <x:f>SUM($J$3:J81)</x:f>
        <x:v>237</x:v>
      </x:c>
      <x:c r="L81" s="28" t="inlineStr">
        <x:is>
          <x:t xml:space="preserve"/>
        </x:is>
      </x:c>
    </x:row>
    <x:row r="82" ht="42" customHeight="1">
      <x:c r="A82" s="36" t="inlineStr">
        <x:is>
          <x:t xml:space="preserve">28.05.2026</x:t>
        </x:is>
      </x:c>
      <x:c r="B82" s="24" t="inlineStr">
        <x:is>
          <x:t xml:space="preserve">Неделя 12</x:t>
        </x:is>
      </x:c>
      <x:c r="C82" s="24" t="n">
        <x:v>80</x:v>
      </x:c>
      <x:c r="D82" s="20" t="inlineStr">
        <x:is>
          <x:t xml:space="preserve">Финишный спринт</x:t>
        </x:is>
      </x:c>
      <x:c r="E82" s="7" t="inlineStr">
        <x:is>
          <x:t xml:space="preserve">Portfolio finalization. Собрать все, что уже есть: lab doc, GitHub, scripts, hardening checklist, incident report.</x:t>
        </x:is>
      </x:c>
      <x:c r="F82" s="7" t="inlineStr">
        <x:is>
          <x:t xml:space="preserve">Обновить README главного repo и сделать понятную навигацию по проектам.</x:t>
        </x:is>
      </x:c>
      <x:c r="G82" s="7" t="inlineStr">
        <x:is>
          <x:t xml:space="preserve">10 слов: portfolio, evidence, practical, summary, final, showcase, improvement, project, proof, ready</x:t>
        </x:is>
      </x:c>
      <x:c r="H82" s="7" t="inlineStr">
        <x:is>
          <x:t xml:space="preserve">Portfolio finalized</x:t>
        </x:is>
      </x:c>
      <x:c r="I82" s="25" t="inlineStr">
        <x:is>
          <x:t xml:space="preserve"/>
        </x:is>
      </x:c>
      <x:c r="J82" s="24" t="n">
        <x:v>3</x:v>
      </x:c>
      <x:c r="K82" s="24">
        <x:f>SUM($J$3:J82)</x:f>
        <x:v>240</x:v>
      </x:c>
      <x:c r="L82" s="28" t="inlineStr">
        <x:is>
          <x:t xml:space="preserve"/>
        </x:is>
      </x:c>
    </x:row>
    <x:row r="83" ht="42" customHeight="1">
      <x:c r="A83" s="36" t="inlineStr">
        <x:is>
          <x:t xml:space="preserve">29.05.2026</x:t>
        </x:is>
      </x:c>
      <x:c r="B83" s="24" t="inlineStr">
        <x:is>
          <x:t xml:space="preserve">Неделя 12</x:t>
        </x:is>
      </x:c>
      <x:c r="C83" s="24" t="n">
        <x:v>81</x:v>
      </x:c>
      <x:c r="D83" s="20" t="inlineStr">
        <x:is>
          <x:t xml:space="preserve">Финишный спринт</x:t>
        </x:is>
      </x:c>
      <x:c r="E83" s="7" t="inlineStr">
        <x:is>
          <x:t xml:space="preserve">Final targeted applications. Выбрать 10 лучших вакансий и адаптировать под них резюме/сообщения точнее.</x:t>
        </x:is>
      </x:c>
      <x:c r="F83" s="7" t="inlineStr">
        <x:is>
          <x:t xml:space="preserve">Сделать финальный пакет откликов в support/sysadmin/NOC/Jr SOC роли.</x:t>
        </x:is>
      </x:c>
      <x:c r="G83" s="7" t="inlineStr">
        <x:is>
          <x:t xml:space="preserve">10 слов: target, tailor, relevant, screening, submit, recruiter, schedule, availability, profile, fit</x:t>
        </x:is>
      </x:c>
      <x:c r="H83" s="7" t="inlineStr">
        <x:is>
          <x:t xml:space="preserve">Targeted applications sent</x:t>
        </x:is>
      </x:c>
      <x:c r="I83" s="25" t="inlineStr">
        <x:is>
          <x:t xml:space="preserve"/>
        </x:is>
      </x:c>
      <x:c r="J83" s="24" t="n">
        <x:v>3</x:v>
      </x:c>
      <x:c r="K83" s="24">
        <x:f>SUM($J$3:J83)</x:f>
        <x:v>243</x:v>
      </x:c>
      <x:c r="L83" s="28" t="inlineStr">
        <x:is>
          <x:t xml:space="preserve"/>
        </x:is>
      </x:c>
    </x:row>
    <x:row r="84" ht="42" customHeight="1">
      <x:c r="A84" s="36" t="inlineStr">
        <x:is>
          <x:t xml:space="preserve">30.05.2026</x:t>
        </x:is>
      </x:c>
      <x:c r="B84" s="24" t="inlineStr">
        <x:is>
          <x:t xml:space="preserve">Неделя 12</x:t>
        </x:is>
      </x:c>
      <x:c r="C84" s="24" t="n">
        <x:v>82</x:v>
      </x:c>
      <x:c r="D84" s="20" t="inlineStr">
        <x:is>
          <x:t xml:space="preserve">Финишный спринт</x:t>
        </x:is>
      </x:c>
      <x:c r="E84" s="7" t="inlineStr">
        <x:is>
          <x:t xml:space="preserve">Mock interview #4. Повторить общую самопрезентацию и 5 техтем, которые чаще всего всплывают.</x:t>
        </x:is>
      </x:c>
      <x:c r="F84" s="7" t="inlineStr">
        <x:is>
          <x:t xml:space="preserve">Провести mock interview #4 и записать, где путаешься.</x:t>
        </x:is>
      </x:c>
      <x:c r="G84" s="7" t="inlineStr">
        <x:is>
          <x:t xml:space="preserve">10 слов интервью: confidence, concise, example, clarify, practical, problem-solving, motivation, project, result, action</x:t>
        </x:is>
      </x:c>
      <x:c r="H84" s="7" t="inlineStr">
        <x:is>
          <x:t xml:space="preserve">Mock interview #4</x:t>
        </x:is>
      </x:c>
      <x:c r="I84" s="25" t="inlineStr">
        <x:is>
          <x:t xml:space="preserve"/>
        </x:is>
      </x:c>
      <x:c r="J84" s="24" t="n">
        <x:v>3</x:v>
      </x:c>
      <x:c r="K84" s="24">
        <x:f>SUM($J$3:J84)</x:f>
        <x:v>246</x:v>
      </x:c>
      <x:c r="L84" s="28" t="inlineStr">
        <x:is>
          <x:t xml:space="preserve"/>
        </x:is>
      </x:c>
    </x:row>
    <x:row r="85" ht="42" customHeight="1">
      <x:c r="A85" s="36" t="inlineStr">
        <x:is>
          <x:t xml:space="preserve">31.05.2026</x:t>
        </x:is>
      </x:c>
      <x:c r="B85" s="24" t="inlineStr">
        <x:is>
          <x:t xml:space="preserve">Неделя 12</x:t>
        </x:is>
      </x:c>
      <x:c r="C85" s="24" t="n">
        <x:v>83</x:v>
      </x:c>
      <x:c r="D85" s="20" t="inlineStr">
        <x:is>
          <x:t xml:space="preserve">Финишный спринт</x:t>
        </x:is>
      </x:c>
      <x:c r="E85" s="7" t="inlineStr">
        <x:is>
          <x:t xml:space="preserve">Mock interview #5. Сделать скоростной прогон support + sysadmin + security вопросов.</x:t>
        </x:is>
      </x:c>
      <x:c r="F85" s="7" t="inlineStr">
        <x:is>
          <x:t xml:space="preserve">Провести mock interview #5 и обновить answer bank по итогам.</x:t>
        </x:is>
      </x:c>
      <x:c r="G85" s="7" t="inlineStr">
        <x:is>
          <x:t xml:space="preserve">10 слов: concise, example, issue, diagnose, recover, protect, access, script, monitor, resolve</x:t>
        </x:is>
      </x:c>
      <x:c r="H85" s="7" t="inlineStr">
        <x:is>
          <x:t xml:space="preserve">Mock interview #5</x:t>
        </x:is>
      </x:c>
      <x:c r="I85" s="25" t="inlineStr">
        <x:is>
          <x:t xml:space="preserve"/>
        </x:is>
      </x:c>
      <x:c r="J85" s="24" t="n">
        <x:v>3</x:v>
      </x:c>
      <x:c r="K85" s="24">
        <x:f>SUM($J$3:J85)</x:f>
        <x:v>249</x:v>
      </x:c>
      <x:c r="L85" s="28" t="inlineStr">
        <x:is>
          <x:t xml:space="preserve"/>
        </x:is>
      </x:c>
    </x:row>
    <x:row r="86" ht="42" customHeight="1">
      <x:c r="A86" s="36" t="inlineStr">
        <x:is>
          <x:t xml:space="preserve">01.06.2026</x:t>
        </x:is>
      </x:c>
      <x:c r="B86" s="24" t="inlineStr">
        <x:is>
          <x:t xml:space="preserve">Неделя 12</x:t>
        </x:is>
      </x:c>
      <x:c r="C86" s="24" t="n">
        <x:v>84</x:v>
      </x:c>
      <x:c r="D86" s="20" t="inlineStr">
        <x:is>
          <x:t xml:space="preserve">Финишный спринт</x:t>
        </x:is>
      </x:c>
      <x:c r="E86" s="7" t="inlineStr">
        <x:is>
          <x:t xml:space="preserve">Финальный аудит и план на 30 дней. Посчитать, что реально сделано за 12 недель и какая роль стала самой близкой.</x:t>
        </x:is>
      </x:c>
      <x:c r="F86" s="7" t="inlineStr">
        <x:is>
          <x:t xml:space="preserve">Составить next 30-day plan: 4 недели после этого курса, с фокусом на офферы и gap topics.</x:t>
        </x:is>
      </x:c>
      <x:c r="G86" s="7" t="inlineStr">
        <x:is>
          <x:t xml:space="preserve">Повтор ключевых слов всего трека.</x:t>
        </x:is>
      </x:c>
      <x:c r="H86" s="7" t="inlineStr">
        <x:is>
          <x:t xml:space="preserve">Next 30-day plan</x:t>
        </x:is>
      </x:c>
      <x:c r="I86" s="25" t="inlineStr">
        <x:is>
          <x:t xml:space="preserve"/>
        </x:is>
      </x:c>
      <x:c r="J86" s="24" t="n">
        <x:v>3</x:v>
      </x:c>
      <x:c r="K86" s="24">
        <x:f>SUM($J$3:J86)</x:f>
        <x:v>252</x:v>
      </x:c>
      <x:c r="L86" s="28" t="inlineStr">
        <x:is>
          <x:t xml:space="preserve"/>
        </x:is>
      </x:c>
    </x:row>
  </x:sheetData>
  <x:mergeCells>
    <x:mergeCell ref="A1:L1"/>
  </x:mergeCells>
  <x:conditionalFormatting sqref="I3:I86">
    <x:cfRule type="expression" dxfId="0" priority="1">
      <x:formula>$I3="Готово"</x:formula>
    </x:cfRule>
    <x:cfRule type="expression" dxfId="1" priority="2">
      <x:formula>$I3="В процессе"</x:formula>
    </x:cfRule>
    <x:cfRule type="expression" dxfId="2" priority="3">
      <x:formula>$I3="Пропуск"</x:formula>
    </x:cfRule>
  </x:conditionalFormatting>
  <x:dataValidations count="1">
    <x:dataValidation type="list" allowBlank="1" showDropDown="0" showInputMessage="0" showErrorMessage="0" error="Выбери статус из списка." prompt="Выбери статус." sqref="I3:I86">
      <x:formula1>"Не начато,В процессе,Готово,Пропуск"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6" customWidth="1"/>
    <x:col min="3" max="3" width="18" customWidth="1"/>
    <x:col min="4" max="4" width="38" customWidth="1"/>
    <x:col min="5" max="5" width="14" customWidth="1"/>
    <x:col min="6" max="6" width="28" customWidth="1"/>
  </x:cols>
  <x:sheetData>
    <x:row r="1">
      <x:c r="A1" s="1" t="inlineStr">
        <x:is>
          <x:t xml:space="preserve">Контрольные точки на 12 недель</x:t>
        </x:is>
      </x:c>
      <x:c r="B1" s="31" t="n"/>
      <x:c r="C1" s="31" t="n"/>
      <x:c r="D1" s="31" t="n"/>
      <x:c r="E1" s="31" t="n"/>
      <x:c r="F1" s="32" t="n"/>
    </x:row>
    <x:row r="2">
      <x:c r="A2" s="29" t="inlineStr">
        <x:is>
          <x:t xml:space="preserve">Всего КТ</x:t>
        </x:is>
      </x:c>
      <x:c r="B2" s="24">
        <x:f>COUNTA(B5:B22)</x:f>
        <x:v>18</x:v>
      </x:c>
      <x:c r="C2" s="29" t="inlineStr">
        <x:is>
          <x:t xml:space="preserve">Готово</x:t>
        </x:is>
      </x:c>
      <x:c r="D2" s="24">
        <x:f>COUNTIF(E5:E22,"Готово")</x:f>
        <x:v>0</x:v>
      </x:c>
      <x:c r="E2" s="29" t="inlineStr">
        <x:is>
          <x:t xml:space="preserve">Прогресс</x:t>
        </x:is>
      </x:c>
      <x:c r="F2" s="37">
        <x:f>IF(B2=0,0,D2/B2)</x:f>
        <x:v>0</x:v>
      </x:c>
    </x:row>
    <x:row r="4">
      <x:c r="A4" s="12" t="inlineStr">
        <x:is>
          <x:t xml:space="preserve">Категория</x:t>
        </x:is>
      </x:c>
      <x:c r="B4" s="12" t="inlineStr">
        <x:is>
          <x:t xml:space="preserve">Контрольная точка</x:t>
        </x:is>
      </x:c>
      <x:c r="C4" s="12" t="inlineStr">
        <x:is>
          <x:t xml:space="preserve">К дедлайну (неделя)</x:t>
        </x:is>
      </x:c>
      <x:c r="D4" s="12" t="inlineStr">
        <x:is>
          <x:t xml:space="preserve">Что будет доказательством</x:t>
        </x:is>
      </x:c>
      <x:c r="E4" s="12" t="inlineStr">
        <x:is>
          <x:t xml:space="preserve">Статус</x:t>
        </x:is>
      </x:c>
      <x:c r="F4" s="12" t="inlineStr">
        <x:is>
          <x:t xml:space="preserve">Ссылка / заметка</x:t>
        </x:is>
      </x:c>
    </x:row>
    <x:row r="5" ht="30" customHeight="1">
      <x:c r="A5" s="14" t="inlineStr">
        <x:is>
          <x:t xml:space="preserve">Фундамент</x:t>
        </x:is>
      </x:c>
      <x:c r="B5" s="7" t="inlineStr">
        <x:is>
          <x:t xml:space="preserve">GitHub-репозиторий it-journey создан</x:t>
        </x:is>
      </x:c>
      <x:c r="C5" s="24" t="n">
        <x:v>1</x:v>
      </x:c>
      <x:c r="D5" s="7" t="inlineStr">
        <x:is>
          <x:t xml:space="preserve">Ссылка на repo + первый commit</x:t>
        </x:is>
      </x:c>
      <x:c r="E5" s="25" t="inlineStr">
        <x:is>
          <x:t xml:space="preserve"/>
        </x:is>
      </x:c>
      <x:c r="F5" s="28" t="inlineStr">
        <x:is>
          <x:t xml:space="preserve"/>
        </x:is>
      </x:c>
    </x:row>
    <x:row r="6" ht="30" customHeight="1">
      <x:c r="A6" s="14" t="inlineStr">
        <x:is>
          <x:t xml:space="preserve">Фундамент</x:t>
        </x:is>
      </x:c>
      <x:c r="B6" s="7" t="inlineStr">
        <x:is>
          <x:t xml:space="preserve">Ubuntu VM установлена и запускается</x:t>
        </x:is>
      </x:c>
      <x:c r="C6" s="24" t="n">
        <x:v>1</x:v>
      </x:c>
      <x:c r="D6" s="7" t="inlineStr">
        <x:is>
          <x:t xml:space="preserve">Скриншот VM + snapshot</x:t>
        </x:is>
      </x:c>
      <x:c r="E6" s="25" t="inlineStr">
        <x:is>
          <x:t xml:space="preserve"/>
        </x:is>
      </x:c>
      <x:c r="F6" s="28" t="inlineStr">
        <x:is>
          <x:t xml:space="preserve"/>
        </x:is>
      </x:c>
    </x:row>
    <x:row r="7" ht="30" customHeight="1">
      <x:c r="A7" s="14" t="inlineStr">
        <x:is>
          <x:t xml:space="preserve">Фундамент</x:t>
        </x:is>
      </x:c>
      <x:c r="B7" s="7" t="inlineStr">
        <x:is>
          <x:t xml:space="preserve">Шпаргалка по сети готова</x:t>
        </x:is>
      </x:c>
      <x:c r="C7" s="24" t="n">
        <x:v>1</x:v>
      </x:c>
      <x:c r="D7" s="7" t="inlineStr">
        <x:is>
          <x:t xml:space="preserve">Файл / заметка на 1 страницу</x:t>
        </x:is>
      </x:c>
      <x:c r="E7" s="25" t="inlineStr">
        <x:is>
          <x:t xml:space="preserve"/>
        </x:is>
      </x:c>
      <x:c r="F7" s="28" t="inlineStr">
        <x:is>
          <x:t xml:space="preserve"/>
        </x:is>
      </x:c>
    </x:row>
    <x:row r="8" ht="30" customHeight="1">
      <x:c r="A8" s="14" t="inlineStr">
        <x:is>
          <x:t xml:space="preserve">Фундамент</x:t>
        </x:is>
      </x:c>
      <x:c r="B8" s="7" t="inlineStr">
        <x:is>
          <x:t xml:space="preserve">Словарь на 100 IT-терминов</x:t>
        </x:is>
      </x:c>
      <x:c r="C8" s="24" t="n">
        <x:v>2</x:v>
      </x:c>
      <x:c r="D8" s="7" t="inlineStr">
        <x:is>
          <x:t xml:space="preserve">Таблица / заметка со 100 терминами</x:t>
        </x:is>
      </x:c>
      <x:c r="E8" s="25" t="inlineStr">
        <x:is>
          <x:t xml:space="preserve"/>
        </x:is>
      </x:c>
      <x:c r="F8" s="28" t="inlineStr">
        <x:is>
          <x:t xml:space="preserve"/>
        </x:is>
      </x:c>
    </x:row>
    <x:row r="9" ht="30" customHeight="1">
      <x:c r="A9" s="14" t="inlineStr">
        <x:is>
          <x:t xml:space="preserve">Фундамент</x:t>
        </x:is>
      </x:c>
      <x:c r="B9" s="7" t="inlineStr">
        <x:is>
          <x:t xml:space="preserve">Документ 'Моя домашняя lab-среда v1'</x:t>
        </x:is>
      </x:c>
      <x:c r="C9" s="24" t="n">
        <x:v>2</x:v>
      </x:c>
      <x:c r="D9" s="7" t="inlineStr">
        <x:is>
          <x:t xml:space="preserve">Файл / PDF / заметка</x:t>
        </x:is>
      </x:c>
      <x:c r="E9" s="25" t="inlineStr">
        <x:is>
          <x:t xml:space="preserve"/>
        </x:is>
      </x:c>
      <x:c r="F9" s="28" t="inlineStr">
        <x:is>
          <x:t xml:space="preserve"/>
        </x:is>
      </x:c>
    </x:row>
    <x:row r="10" ht="30" customHeight="1">
      <x:c r="A10" s="15" t="inlineStr">
        <x:is>
          <x:t xml:space="preserve">Support</x:t>
        </x:is>
      </x:c>
      <x:c r="B10" s="7" t="inlineStr">
        <x:is>
          <x:t xml:space="preserve">5 troubleshooting cards</x:t>
        </x:is>
      </x:c>
      <x:c r="C10" s="24" t="n">
        <x:v>3</x:v>
      </x:c>
      <x:c r="D10" s="7" t="inlineStr">
        <x:is>
          <x:t xml:space="preserve">Карточки по 5 типовым кейсам</x:t>
        </x:is>
      </x:c>
      <x:c r="E10" s="25" t="inlineStr">
        <x:is>
          <x:t xml:space="preserve"/>
        </x:is>
      </x:c>
      <x:c r="F10" s="28" t="inlineStr">
        <x:is>
          <x:t xml:space="preserve"/>
        </x:is>
      </x:c>
    </x:row>
    <x:row r="11" ht="30" customHeight="1">
      <x:c r="A11" s="15" t="inlineStr">
        <x:is>
          <x:t xml:space="preserve">Support</x:t>
        </x:is>
      </x:c>
      <x:c r="B11" s="7" t="inlineStr">
        <x:is>
          <x:t xml:space="preserve">10 troubleshooting cards</x:t>
        </x:is>
      </x:c>
      <x:c r="C11" s="24" t="n">
        <x:v>4</x:v>
      </x:c>
      <x:c r="D11" s="7" t="inlineStr">
        <x:is>
          <x:t xml:space="preserve">Карточки по 10 типовым кейсам</x:t>
        </x:is>
      </x:c>
      <x:c r="E11" s="25" t="inlineStr">
        <x:is>
          <x:t xml:space="preserve"/>
        </x:is>
      </x:c>
      <x:c r="F11" s="28" t="inlineStr">
        <x:is>
          <x:t xml:space="preserve"/>
        </x:is>
      </x:c>
    </x:row>
    <x:row r="12" ht="30" customHeight="1">
      <x:c r="A12" s="15" t="inlineStr">
        <x:is>
          <x:t xml:space="preserve">Support</x:t>
        </x:is>
      </x:c>
      <x:c r="B12" s="7" t="inlineStr">
        <x:is>
          <x:t xml:space="preserve">Mock interview #1</x:t>
        </x:is>
      </x:c>
      <x:c r="C12" s="24" t="n">
        <x:v>4</x:v>
      </x:c>
      <x:c r="D12" s="7" t="inlineStr">
        <x:is>
          <x:t xml:space="preserve">Список вопросов + выводы</x:t>
        </x:is>
      </x:c>
      <x:c r="E12" s="25" t="inlineStr">
        <x:is>
          <x:t xml:space="preserve"/>
        </x:is>
      </x:c>
      <x:c r="F12" s="28" t="inlineStr">
        <x:is>
          <x:t xml:space="preserve"/>
        </x:is>
      </x:c>
    </x:row>
    <x:row r="13" ht="30" customHeight="1">
      <x:c r="A13" s="16" t="inlineStr">
        <x:is>
          <x:t xml:space="preserve">Python</x:t>
        </x:is>
      </x:c>
      <x:c r="B13" s="7" t="inlineStr">
        <x:is>
          <x:t xml:space="preserve">Script 1: disk space checker</x:t>
        </x:is>
      </x:c>
      <x:c r="C13" s="24" t="n">
        <x:v>5</x:v>
      </x:c>
      <x:c r="D13" s="7" t="inlineStr">
        <x:is>
          <x:t xml:space="preserve">GitHub + README</x:t>
        </x:is>
      </x:c>
      <x:c r="E13" s="25" t="inlineStr">
        <x:is>
          <x:t xml:space="preserve"/>
        </x:is>
      </x:c>
      <x:c r="F13" s="28" t="inlineStr">
        <x:is>
          <x:t xml:space="preserve"/>
        </x:is>
      </x:c>
    </x:row>
    <x:row r="14" ht="30" customHeight="1">
      <x:c r="A14" s="16" t="inlineStr">
        <x:is>
          <x:t xml:space="preserve">Python</x:t>
        </x:is>
      </x:c>
      <x:c r="B14" s="7" t="inlineStr">
        <x:is>
          <x:t xml:space="preserve">4 Python-скрипта опубликованы</x:t>
        </x:is>
      </x:c>
      <x:c r="C14" s="24" t="n">
        <x:v>6</x:v>
      </x:c>
      <x:c r="D14" s="7" t="inlineStr">
        <x:is>
          <x:t xml:space="preserve">4 репозитория / папки + README</x:t>
        </x:is>
      </x:c>
      <x:c r="E14" s="25" t="inlineStr">
        <x:is>
          <x:t xml:space="preserve"/>
        </x:is>
      </x:c>
      <x:c r="F14" s="28" t="inlineStr">
        <x:is>
          <x:t xml:space="preserve"/>
        </x:is>
      </x:c>
    </x:row>
    <x:row r="15" ht="30" customHeight="1">
      <x:c r="A15" s="17" t="inlineStr">
        <x:is>
          <x:t xml:space="preserve">Cybersecurity</x:t>
        </x:is>
      </x:c>
      <x:c r="B15" s="7" t="inlineStr">
        <x:is>
          <x:t xml:space="preserve">PC hardening checklist</x:t>
        </x:is>
      </x:c>
      <x:c r="C15" s="24" t="n">
        <x:v>7</x:v>
      </x:c>
      <x:c r="D15" s="7" t="inlineStr">
        <x:is>
          <x:t xml:space="preserve">Чеклист по защите своего ПК</x:t>
        </x:is>
      </x:c>
      <x:c r="E15" s="25" t="inlineStr">
        <x:is>
          <x:t xml:space="preserve"/>
        </x:is>
      </x:c>
      <x:c r="F15" s="28" t="inlineStr">
        <x:is>
          <x:t xml:space="preserve"/>
        </x:is>
      </x:c>
    </x:row>
    <x:row r="16" ht="30" customHeight="1">
      <x:c r="A16" s="17" t="inlineStr">
        <x:is>
          <x:t xml:space="preserve">Security Operations</x:t>
        </x:is>
      </x:c>
      <x:c r="B16" s="7" t="inlineStr">
        <x:is>
          <x:t xml:space="preserve">Mini incident report</x:t>
        </x:is>
      </x:c>
      <x:c r="C16" s="24" t="n">
        <x:v>8</x:v>
      </x:c>
      <x:c r="D16" s="7" t="inlineStr">
        <x:is>
          <x:t xml:space="preserve">Отчет на 1 страницу</x:t>
        </x:is>
      </x:c>
      <x:c r="E16" s="25" t="inlineStr">
        <x:is>
          <x:t xml:space="preserve"/>
        </x:is>
      </x:c>
      <x:c r="F16" s="28" t="inlineStr">
        <x:is>
          <x:t xml:space="preserve"/>
        </x:is>
      </x:c>
    </x:row>
    <x:row r="17" ht="30" customHeight="1">
      <x:c r="A17" s="18" t="inlineStr">
        <x:is>
          <x:t xml:space="preserve">Переход к работе</x:t>
        </x:is>
      </x:c>
      <x:c r="B17" s="7" t="inlineStr">
        <x:is>
          <x:t xml:space="preserve">Lab document v2 со скриншотами</x:t>
        </x:is>
      </x:c>
      <x:c r="C17" s="24" t="n">
        <x:v>9</x:v>
      </x:c>
      <x:c r="D17" s="7" t="inlineStr">
        <x:is>
          <x:t xml:space="preserve">Обновленный документ + ссылки</x:t>
        </x:is>
      </x:c>
      <x:c r="E17" s="25" t="inlineStr">
        <x:is>
          <x:t xml:space="preserve"/>
        </x:is>
      </x:c>
      <x:c r="F17" s="28" t="inlineStr">
        <x:is>
          <x:t xml:space="preserve"/>
        </x:is>
      </x:c>
    </x:row>
    <x:row r="18" ht="30" customHeight="1">
      <x:c r="A18" s="18" t="inlineStr">
        <x:is>
          <x:t xml:space="preserve">Упаковка</x:t>
        </x:is>
      </x:c>
      <x:c r="B18" s="7" t="inlineStr">
        <x:is>
          <x:t xml:space="preserve">Resume + HH + LinkedIn готовы</x:t>
        </x:is>
      </x:c>
      <x:c r="C18" s="24" t="n">
        <x:v>10</x:v>
      </x:c>
      <x:c r="D18" s="7" t="inlineStr">
        <x:is>
          <x:t xml:space="preserve">Файл резюме + ссылки на профили</x:t>
        </x:is>
      </x:c>
      <x:c r="E18" s="25" t="inlineStr">
        <x:is>
          <x:t xml:space="preserve"/>
        </x:is>
      </x:c>
      <x:c r="F18" s="28" t="inlineStr">
        <x:is>
          <x:t xml:space="preserve"/>
        </x:is>
      </x:c>
    </x:row>
    <x:row r="19" ht="30" customHeight="1">
      <x:c r="A19" s="18" t="inlineStr">
        <x:is>
          <x:t xml:space="preserve">Упаковка</x:t>
        </x:is>
      </x:c>
      <x:c r="B19" s="7" t="inlineStr">
        <x:is>
          <x:t xml:space="preserve">Список 30 целевых вакансий</x:t>
        </x:is>
      </x:c>
      <x:c r="C19" s="24" t="n">
        <x:v>10</x:v>
      </x:c>
      <x:c r="D19" s="7" t="inlineStr">
        <x:is>
          <x:t xml:space="preserve">Таблица / заметка с 30 позициями</x:t>
        </x:is>
      </x:c>
      <x:c r="E19" s="25" t="inlineStr">
        <x:is>
          <x:t xml:space="preserve"/>
        </x:is>
      </x:c>
      <x:c r="F19" s="28" t="inlineStr">
        <x:is>
          <x:t xml:space="preserve"/>
        </x:is>
      </x:c>
    </x:row>
    <x:row r="20" ht="30" customHeight="1">
      <x:c r="A20" s="19" t="inlineStr">
        <x:is>
          <x:t xml:space="preserve">Отклики</x:t>
        </x:is>
      </x:c>
      <x:c r="B20" s="7" t="inlineStr">
        <x:is>
          <x:t xml:space="preserve">30 откликов отправлено</x:t>
        </x:is>
      </x:c>
      <x:c r="C20" s="24" t="n">
        <x:v>11</x:v>
      </x:c>
      <x:c r="D20" s="7" t="inlineStr">
        <x:is>
          <x:t xml:space="preserve">Таблица откликов / ответы</x:t>
        </x:is>
      </x:c>
      <x:c r="E20" s="25" t="inlineStr">
        <x:is>
          <x:t xml:space="preserve"/>
        </x:is>
      </x:c>
      <x:c r="F20" s="28" t="inlineStr">
        <x:is>
          <x:t xml:space="preserve"/>
        </x:is>
      </x:c>
    </x:row>
    <x:row r="21" ht="30" customHeight="1">
      <x:c r="A21" s="20" t="inlineStr">
        <x:is>
          <x:t xml:space="preserve">Финишный спринт</x:t>
        </x:is>
      </x:c>
      <x:c r="B21" s="7" t="inlineStr">
        <x:is>
          <x:t xml:space="preserve">5 mock interviews завершены</x:t>
        </x:is>
      </x:c>
      <x:c r="C21" s="24" t="n">
        <x:v>12</x:v>
      </x:c>
      <x:c r="D21" s="7" t="inlineStr">
        <x:is>
          <x:t xml:space="preserve">Конспекты после интервью</x:t>
        </x:is>
      </x:c>
      <x:c r="E21" s="25" t="inlineStr">
        <x:is>
          <x:t xml:space="preserve"/>
        </x:is>
      </x:c>
      <x:c r="F21" s="28" t="inlineStr">
        <x:is>
          <x:t xml:space="preserve"/>
        </x:is>
      </x:c>
    </x:row>
    <x:row r="22" ht="30" customHeight="1">
      <x:c r="A22" s="20" t="inlineStr">
        <x:is>
          <x:t xml:space="preserve">Финишный спринт</x:t>
        </x:is>
      </x:c>
      <x:c r="B22" s="7" t="inlineStr">
        <x:is>
          <x:t xml:space="preserve">Next 30-day plan готов</x:t>
        </x:is>
      </x:c>
      <x:c r="C22" s="24" t="n">
        <x:v>12</x:v>
      </x:c>
      <x:c r="D22" s="7" t="inlineStr">
        <x:is>
          <x:t xml:space="preserve">План на следующие 4 недели</x:t>
        </x:is>
      </x:c>
      <x:c r="E22" s="25" t="inlineStr">
        <x:is>
          <x:t xml:space="preserve"/>
        </x:is>
      </x:c>
      <x:c r="F22" s="28" t="inlineStr">
        <x:is>
          <x:t xml:space="preserve"/>
        </x:is>
      </x:c>
    </x:row>
  </x:sheetData>
  <x:mergeCells>
    <x:mergeCell ref="A1:F1"/>
  </x:mergeCells>
  <x:conditionalFormatting sqref="E5:E22">
    <x:cfRule type="expression" dxfId="0" priority="1">
      <x:formula>$E5="Готово"</x:formula>
    </x:cfRule>
    <x:cfRule type="expression" dxfId="1" priority="2">
      <x:formula>$E5="В процессе"</x:formula>
    </x:cfRule>
    <x:cfRule type="expression" dxfId="2" priority="3">
      <x:formula>$E5="Пропуск"</x:formula>
    </x:cfRule>
  </x:conditionalFormatting>
  <x:dataValidations count="1">
    <x:dataValidation type="list" allowBlank="1" showDropDown="0" showInputMessage="0" showErrorMessage="0" error="Выбери статус из списка." prompt="Выбери статус." sqref="E5:E22">
      <x:formula1>"Не начато,В процессе,Готово,Пропуск"</x:formula1>
    </x:dataValidation>
  </x:dataValidations>
  <x:pageMargins left="0.7" right="0.7" top="0.75" bottom="0.75" header="0.3" footer="0.3"/>
</x:worksheet>
</file>